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queryTables/queryTable3.xml" ContentType="application/vnd.openxmlformats-officedocument.spreadsheetml.queryTable+xml"/>
  <Override PartName="/xl/tables/table7.xml" ContentType="application/vnd.openxmlformats-officedocument.spreadsheetml.table+xml"/>
  <Override PartName="/xl/queryTables/queryTable4.xml" ContentType="application/vnd.openxmlformats-officedocument.spreadsheetml.queryTable+xml"/>
  <Override PartName="/xl/tables/table8.xml" ContentType="application/vnd.openxmlformats-officedocument.spreadsheetml.table+xml"/>
  <Override PartName="/xl/queryTables/queryTable5.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2ndwatch-my.sharepoint.com/personal/paddelia_2ndwatch_com/Documents/Snowflake/"/>
    </mc:Choice>
  </mc:AlternateContent>
  <xr:revisionPtr revIDLastSave="2" documentId="8_{9E92992A-E516-41BE-B8E2-0F5D2DC9CB9A}" xr6:coauthVersionLast="47" xr6:coauthVersionMax="47" xr10:uidLastSave="{6DE7FCEA-14B9-4617-9994-8CCF3CFA2252}"/>
  <bookViews>
    <workbookView xWindow="33990" yWindow="2895" windowWidth="21600" windowHeight="12540" tabRatio="589" firstSheet="7" activeTab="12" xr2:uid="{316FF070-9F9F-4304-BB02-22BC2CA0CB15}"/>
  </bookViews>
  <sheets>
    <sheet name="Servers" sheetId="11" r:id="rId1"/>
    <sheet name="Column Definition" sheetId="2" r:id="rId2"/>
    <sheet name="DataSample" sheetId="22" r:id="rId3"/>
    <sheet name="Merge Code" sheetId="12" r:id="rId4"/>
    <sheet name="Tables" sheetId="7" r:id="rId5"/>
    <sheet name="Databases" sheetId="9" r:id="rId6"/>
    <sheet name="Schemas" sheetId="10" r:id="rId7"/>
    <sheet name="Add tech columns" sheetId="15" r:id="rId8"/>
    <sheet name="Make Select list" sheetId="16" r:id="rId9"/>
    <sheet name="Create table" sheetId="20" r:id="rId10"/>
    <sheet name="Select Asset" sheetId="17" r:id="rId11"/>
    <sheet name="Sheet1" sheetId="21" r:id="rId12"/>
    <sheet name="Make IN List" sheetId="19" r:id="rId13"/>
  </sheets>
  <definedNames>
    <definedName name="_xlcn.WorksheetConnection_WorkonPowerPivot.xlsxTable3" hidden="1">Table3[]</definedName>
    <definedName name="COLUMN_NAME">Columns_1[[#All],[COLUMN_NAME]]</definedName>
    <definedName name="Columns">Columns_1[#All]</definedName>
    <definedName name="ExternalData_1" localSheetId="1" hidden="1">'Column Definition'!$A$7:$O$27</definedName>
    <definedName name="ExternalData_1" localSheetId="5" hidden="1">Databases!$A$1:$A$20</definedName>
    <definedName name="ExternalData_1" localSheetId="4" hidden="1">Tables!$A$1:$C$45</definedName>
    <definedName name="ExternalData_2" localSheetId="6" hidden="1">Schemas!$A$1:$A$23</definedName>
    <definedName name="ExternalData_3" localSheetId="2" hidden="1">DataSample!$A$1:$T$1001</definedName>
    <definedName name="Parameters">Table2[#All]</definedName>
    <definedName name="Schema">Schemas[TABLE_SCHEMA]</definedName>
    <definedName name="Servers">Table3[Name]</definedName>
    <definedName name="Table_Name">Tables[TABLE_NAME]</definedName>
    <definedName name="TableName">'Add tech columns'!$B$1</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3" name="Table3" connection="WorksheetConnection_Work on PowerPivot.xlsx!Table3"/>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9" i="19" l="1"/>
  <c r="B20" i="19" s="1"/>
  <c r="C208" i="12"/>
  <c r="C209" i="12"/>
  <c r="C210" i="12"/>
  <c r="C211" i="12"/>
  <c r="C212" i="12"/>
  <c r="C213" i="12"/>
  <c r="C214" i="12"/>
  <c r="C215" i="12"/>
  <c r="C216" i="12"/>
  <c r="C217" i="12"/>
  <c r="C218" i="12"/>
  <c r="C219" i="12"/>
  <c r="C220" i="12"/>
  <c r="C221" i="12"/>
  <c r="C222" i="12"/>
  <c r="C223" i="12"/>
  <c r="C224" i="12"/>
  <c r="C225" i="12"/>
  <c r="C226" i="12"/>
  <c r="C227" i="12"/>
  <c r="C228" i="12"/>
  <c r="C229" i="12"/>
  <c r="C230" i="12"/>
  <c r="C231" i="12"/>
  <c r="C232" i="12"/>
  <c r="C233" i="12"/>
  <c r="C234" i="12"/>
  <c r="C235" i="12"/>
  <c r="C236" i="12"/>
  <c r="C237" i="12"/>
  <c r="C238" i="12"/>
  <c r="C239" i="12"/>
  <c r="C240" i="12"/>
  <c r="C241" i="12"/>
  <c r="C242" i="12"/>
  <c r="C243" i="12"/>
  <c r="C244" i="12"/>
  <c r="C245" i="12"/>
  <c r="C246" i="12"/>
  <c r="C247" i="12"/>
  <c r="C248" i="12"/>
  <c r="C249" i="12"/>
  <c r="C250" i="12"/>
  <c r="C251" i="12"/>
  <c r="C252" i="12"/>
  <c r="C253" i="12"/>
  <c r="C254" i="12"/>
  <c r="C255" i="12"/>
  <c r="C256" i="12"/>
  <c r="C257" i="12"/>
  <c r="C258" i="12"/>
  <c r="C259" i="12"/>
  <c r="C260" i="12"/>
  <c r="C261" i="12"/>
  <c r="C262" i="12"/>
  <c r="C263" i="12"/>
  <c r="C264" i="12"/>
  <c r="C265" i="12"/>
  <c r="C266" i="12"/>
  <c r="C267" i="12"/>
  <c r="C268" i="12"/>
  <c r="C269" i="12"/>
  <c r="C270" i="12"/>
  <c r="C271" i="12"/>
  <c r="C272" i="12"/>
  <c r="C273" i="12"/>
  <c r="C274" i="12"/>
  <c r="C275" i="12"/>
  <c r="C276" i="12"/>
  <c r="C277" i="12"/>
  <c r="C278" i="12"/>
  <c r="C279" i="12"/>
  <c r="C280" i="12"/>
  <c r="C281" i="12"/>
  <c r="C282" i="12"/>
  <c r="C283" i="12"/>
  <c r="C284" i="12"/>
  <c r="C285" i="12"/>
  <c r="C286" i="12"/>
  <c r="C287" i="12"/>
  <c r="C288" i="12"/>
  <c r="C289" i="12"/>
  <c r="C290" i="12"/>
  <c r="C291" i="12"/>
  <c r="C292" i="12"/>
  <c r="C293" i="12"/>
  <c r="C294" i="12"/>
  <c r="C295" i="12"/>
  <c r="C296" i="12"/>
  <c r="C297" i="12"/>
  <c r="C298" i="12"/>
  <c r="C299" i="12"/>
  <c r="C300" i="12"/>
  <c r="C301" i="12"/>
  <c r="C302" i="12"/>
  <c r="C303" i="12"/>
  <c r="C304" i="12"/>
  <c r="C305" i="12"/>
  <c r="C306" i="12"/>
  <c r="C307" i="12"/>
  <c r="C308" i="12"/>
  <c r="C309" i="12"/>
  <c r="C310" i="12"/>
  <c r="C311" i="12"/>
  <c r="C312" i="12"/>
  <c r="C313" i="12"/>
  <c r="C314" i="12"/>
  <c r="C315" i="12"/>
  <c r="C316" i="12"/>
  <c r="C317" i="12"/>
  <c r="C318" i="12"/>
  <c r="C319" i="12"/>
  <c r="C320" i="12"/>
  <c r="C321" i="12"/>
  <c r="C322" i="12"/>
  <c r="C323" i="12"/>
  <c r="C324" i="12"/>
  <c r="C325" i="12"/>
  <c r="C326" i="12"/>
  <c r="C327" i="12"/>
  <c r="C328" i="12"/>
  <c r="C329" i="12"/>
  <c r="C330" i="12"/>
  <c r="C331" i="12"/>
  <c r="C332" i="12"/>
  <c r="C333" i="12"/>
  <c r="C334" i="12"/>
  <c r="C335" i="12"/>
  <c r="C336" i="12"/>
  <c r="C337" i="12"/>
  <c r="C338" i="12"/>
  <c r="C339" i="12"/>
  <c r="C340" i="12"/>
  <c r="C341" i="12"/>
  <c r="C342" i="12"/>
  <c r="C343" i="12"/>
  <c r="C344" i="12"/>
  <c r="C345" i="12"/>
  <c r="C346" i="12"/>
  <c r="C347" i="12"/>
  <c r="C348" i="12"/>
  <c r="C349" i="12"/>
  <c r="C350" i="12"/>
  <c r="C351" i="12"/>
  <c r="C352" i="12"/>
  <c r="C353" i="12"/>
  <c r="C354" i="12"/>
  <c r="C355" i="12"/>
  <c r="C356" i="12"/>
  <c r="C357" i="12"/>
  <c r="C358" i="12"/>
  <c r="C359" i="12"/>
  <c r="C360" i="12"/>
  <c r="C361" i="12"/>
  <c r="C362" i="12"/>
  <c r="C363" i="12"/>
  <c r="C364" i="12"/>
  <c r="C365" i="12"/>
  <c r="C366" i="12"/>
  <c r="C367" i="12"/>
  <c r="C368" i="12"/>
  <c r="C369" i="12"/>
  <c r="C370" i="12"/>
  <c r="C371" i="12"/>
  <c r="C372" i="12"/>
  <c r="C373" i="12"/>
  <c r="C374" i="12"/>
  <c r="C375" i="12"/>
  <c r="C376" i="12"/>
  <c r="C377" i="12"/>
  <c r="C378" i="12"/>
  <c r="C379" i="12"/>
  <c r="C380" i="12"/>
  <c r="C381" i="12"/>
  <c r="C382" i="12"/>
  <c r="C383" i="12"/>
  <c r="C384" i="12"/>
  <c r="C385" i="12"/>
  <c r="C386" i="12"/>
  <c r="C387" i="12"/>
  <c r="C388" i="12"/>
  <c r="C389" i="12"/>
  <c r="C390" i="12"/>
  <c r="C391" i="12"/>
  <c r="C392" i="12"/>
  <c r="C393" i="12"/>
  <c r="C394" i="12"/>
  <c r="C395" i="12"/>
  <c r="C396" i="12"/>
  <c r="C397" i="12"/>
  <c r="C398" i="12"/>
  <c r="C399" i="12"/>
  <c r="C400" i="12"/>
  <c r="C401" i="12"/>
  <c r="C402" i="12"/>
  <c r="C403" i="12"/>
  <c r="C404" i="12"/>
  <c r="C405" i="12"/>
  <c r="C406" i="12"/>
  <c r="C407" i="12"/>
  <c r="C408" i="12"/>
  <c r="C409" i="12"/>
  <c r="C410" i="12"/>
  <c r="C411" i="12"/>
  <c r="C412" i="12"/>
  <c r="C413" i="12"/>
  <c r="C414" i="12"/>
  <c r="C415" i="12"/>
  <c r="C416" i="12"/>
  <c r="C417" i="12"/>
  <c r="C418" i="12"/>
  <c r="C419" i="12"/>
  <c r="C420" i="12"/>
  <c r="C421" i="12"/>
  <c r="C422" i="12"/>
  <c r="C423" i="12"/>
  <c r="C424" i="12"/>
  <c r="C425" i="12"/>
  <c r="C426" i="12"/>
  <c r="C427" i="12"/>
  <c r="C428" i="12"/>
  <c r="C429" i="12"/>
  <c r="C430" i="12"/>
  <c r="C431" i="12"/>
  <c r="C432" i="12"/>
  <c r="C433" i="12"/>
  <c r="C434" i="12"/>
  <c r="C435" i="12"/>
  <c r="C436" i="12"/>
  <c r="C437" i="12"/>
  <c r="C438" i="12"/>
  <c r="C439" i="12"/>
  <c r="C440" i="12"/>
  <c r="C441" i="12"/>
  <c r="C442" i="12"/>
  <c r="C443" i="12"/>
  <c r="C444" i="12"/>
  <c r="C445" i="12"/>
  <c r="C446" i="12"/>
  <c r="C447" i="12"/>
  <c r="C448" i="12"/>
  <c r="C449" i="12"/>
  <c r="C450" i="12"/>
  <c r="C451" i="12"/>
  <c r="C452" i="12"/>
  <c r="C453" i="12"/>
  <c r="C454" i="12"/>
  <c r="C455" i="12"/>
  <c r="C456" i="12"/>
  <c r="C457" i="12"/>
  <c r="C458" i="12"/>
  <c r="C459" i="12"/>
  <c r="C460" i="12"/>
  <c r="C461" i="12"/>
  <c r="C462" i="12"/>
  <c r="C463" i="12"/>
  <c r="C464" i="12"/>
  <c r="C465" i="12"/>
  <c r="C466" i="12"/>
  <c r="C467" i="12"/>
  <c r="C468" i="12"/>
  <c r="C469" i="12"/>
  <c r="C470" i="12"/>
  <c r="C471" i="12"/>
  <c r="C472" i="12"/>
  <c r="C473" i="12"/>
  <c r="C474" i="12"/>
  <c r="C475" i="12"/>
  <c r="C476" i="12"/>
  <c r="C477" i="12"/>
  <c r="C478" i="12"/>
  <c r="C479" i="12"/>
  <c r="C480" i="12"/>
  <c r="C481" i="12"/>
  <c r="C482" i="12"/>
  <c r="C483" i="12"/>
  <c r="C484" i="12"/>
  <c r="C485" i="12"/>
  <c r="C486" i="12"/>
  <c r="C487" i="12"/>
  <c r="C488" i="12"/>
  <c r="C489" i="12"/>
  <c r="C490" i="12"/>
  <c r="C491" i="12"/>
  <c r="C492" i="12"/>
  <c r="C493" i="12"/>
  <c r="D12" i="17" l="1"/>
  <c r="D13" i="17"/>
  <c r="D14" i="17"/>
  <c r="D15" i="17"/>
  <c r="D16" i="17"/>
  <c r="D17" i="17"/>
  <c r="D18" i="17"/>
  <c r="D4" i="17"/>
  <c r="D5" i="17"/>
  <c r="B471" i="12" l="1"/>
  <c r="B472" i="12"/>
  <c r="B473" i="12"/>
  <c r="B474" i="12"/>
  <c r="B475" i="12"/>
  <c r="B476" i="12"/>
  <c r="B477" i="12"/>
  <c r="B478" i="12"/>
  <c r="B479" i="12"/>
  <c r="B480" i="12"/>
  <c r="B481" i="12"/>
  <c r="B482" i="12"/>
  <c r="B483" i="12"/>
  <c r="B484" i="12"/>
  <c r="B485" i="12"/>
  <c r="B486" i="12"/>
  <c r="B487" i="12"/>
  <c r="B488" i="12"/>
  <c r="B489" i="12"/>
  <c r="B490" i="12"/>
  <c r="B491" i="12"/>
  <c r="B492" i="12"/>
  <c r="B493" i="12"/>
  <c r="D471" i="12"/>
  <c r="F471" i="12" s="1"/>
  <c r="D472" i="12"/>
  <c r="E472" i="12" s="1"/>
  <c r="D473" i="12"/>
  <c r="E473" i="12" s="1"/>
  <c r="D474" i="12"/>
  <c r="H474" i="12" s="1"/>
  <c r="D475" i="12"/>
  <c r="E475" i="12" s="1"/>
  <c r="D476" i="12"/>
  <c r="F476" i="12" s="1"/>
  <c r="D477" i="12"/>
  <c r="H477" i="12" s="1"/>
  <c r="D478" i="12"/>
  <c r="E478" i="12" s="1"/>
  <c r="D479" i="12"/>
  <c r="F479" i="12" s="1"/>
  <c r="D480" i="12"/>
  <c r="F480" i="12" s="1"/>
  <c r="D481" i="12"/>
  <c r="E481" i="12" s="1"/>
  <c r="D482" i="12"/>
  <c r="H482" i="12" s="1"/>
  <c r="D483" i="12"/>
  <c r="F483" i="12" s="1"/>
  <c r="D484" i="12"/>
  <c r="F484" i="12" s="1"/>
  <c r="D485" i="12"/>
  <c r="H485" i="12" s="1"/>
  <c r="D486" i="12"/>
  <c r="E486" i="12" s="1"/>
  <c r="D487" i="12"/>
  <c r="F487" i="12" s="1"/>
  <c r="D488" i="12"/>
  <c r="F488" i="12" s="1"/>
  <c r="D489" i="12"/>
  <c r="E489" i="12" s="1"/>
  <c r="D490" i="12"/>
  <c r="H490" i="12" s="1"/>
  <c r="D491" i="12"/>
  <c r="F491" i="12" s="1"/>
  <c r="D492" i="12"/>
  <c r="F492" i="12" s="1"/>
  <c r="D493" i="12"/>
  <c r="H493" i="12" s="1"/>
  <c r="G473" i="12"/>
  <c r="G475" i="12"/>
  <c r="G487" i="12"/>
  <c r="G489" i="12"/>
  <c r="B435" i="12"/>
  <c r="B436" i="12"/>
  <c r="B437" i="12"/>
  <c r="B438" i="12"/>
  <c r="B439" i="12"/>
  <c r="B440" i="12"/>
  <c r="B441" i="12"/>
  <c r="B442" i="12"/>
  <c r="B443" i="12"/>
  <c r="B444" i="12"/>
  <c r="B445" i="12"/>
  <c r="B446" i="12"/>
  <c r="B447" i="12"/>
  <c r="B448" i="12"/>
  <c r="B449" i="12"/>
  <c r="B450" i="12"/>
  <c r="B451" i="12"/>
  <c r="B452" i="12"/>
  <c r="B453" i="12"/>
  <c r="B454" i="12"/>
  <c r="B455" i="12"/>
  <c r="B456" i="12"/>
  <c r="B457" i="12"/>
  <c r="B458" i="12"/>
  <c r="B459" i="12"/>
  <c r="B460" i="12"/>
  <c r="B461" i="12"/>
  <c r="B462" i="12"/>
  <c r="B463" i="12"/>
  <c r="B464" i="12"/>
  <c r="B465" i="12"/>
  <c r="B466" i="12"/>
  <c r="B467" i="12"/>
  <c r="B468" i="12"/>
  <c r="B469" i="12"/>
  <c r="B470" i="12"/>
  <c r="D435" i="12"/>
  <c r="F435" i="12" s="1"/>
  <c r="D436" i="12"/>
  <c r="E436" i="12" s="1"/>
  <c r="D437" i="12"/>
  <c r="E437" i="12" s="1"/>
  <c r="D438" i="12"/>
  <c r="G438" i="12" s="1"/>
  <c r="D439" i="12"/>
  <c r="E439" i="12" s="1"/>
  <c r="D440" i="12"/>
  <c r="E440" i="12" s="1"/>
  <c r="D441" i="12"/>
  <c r="E441" i="12" s="1"/>
  <c r="D442" i="12"/>
  <c r="E442" i="12" s="1"/>
  <c r="D443" i="12"/>
  <c r="E443" i="12" s="1"/>
  <c r="D444" i="12"/>
  <c r="H444" i="12" s="1"/>
  <c r="D445" i="12"/>
  <c r="E445" i="12" s="1"/>
  <c r="D446" i="12"/>
  <c r="F446" i="12" s="1"/>
  <c r="D447" i="12"/>
  <c r="E447" i="12" s="1"/>
  <c r="D448" i="12"/>
  <c r="F448" i="12" s="1"/>
  <c r="D449" i="12"/>
  <c r="E449" i="12" s="1"/>
  <c r="D450" i="12"/>
  <c r="F450" i="12" s="1"/>
  <c r="D451" i="12"/>
  <c r="E451" i="12" s="1"/>
  <c r="D452" i="12"/>
  <c r="H452" i="12" s="1"/>
  <c r="D453" i="12"/>
  <c r="G453" i="12" s="1"/>
  <c r="D454" i="12"/>
  <c r="E454" i="12" s="1"/>
  <c r="D455" i="12"/>
  <c r="E455" i="12" s="1"/>
  <c r="D456" i="12"/>
  <c r="F456" i="12" s="1"/>
  <c r="D457" i="12"/>
  <c r="E457" i="12" s="1"/>
  <c r="D458" i="12"/>
  <c r="F458" i="12" s="1"/>
  <c r="D459" i="12"/>
  <c r="H459" i="12" s="1"/>
  <c r="D460" i="12"/>
  <c r="H460" i="12" s="1"/>
  <c r="D461" i="12"/>
  <c r="E461" i="12" s="1"/>
  <c r="D462" i="12"/>
  <c r="H462" i="12" s="1"/>
  <c r="D463" i="12"/>
  <c r="F463" i="12" s="1"/>
  <c r="D464" i="12"/>
  <c r="H464" i="12" s="1"/>
  <c r="D465" i="12"/>
  <c r="E465" i="12" s="1"/>
  <c r="D466" i="12"/>
  <c r="F466" i="12" s="1"/>
  <c r="D467" i="12"/>
  <c r="F467" i="12" s="1"/>
  <c r="D468" i="12"/>
  <c r="F468" i="12" s="1"/>
  <c r="D469" i="12"/>
  <c r="F469" i="12" s="1"/>
  <c r="D470" i="12"/>
  <c r="E470" i="12" s="1"/>
  <c r="E450" i="12"/>
  <c r="E453" i="12"/>
  <c r="F437" i="12"/>
  <c r="H437" i="12"/>
  <c r="H439" i="12"/>
  <c r="H445" i="12"/>
  <c r="H453" i="12"/>
  <c r="G439" i="12"/>
  <c r="G458" i="12"/>
  <c r="B393" i="12"/>
  <c r="B394" i="12"/>
  <c r="B395" i="12"/>
  <c r="B396" i="12"/>
  <c r="B397" i="12"/>
  <c r="B398" i="12"/>
  <c r="B399" i="12"/>
  <c r="B400" i="12"/>
  <c r="B401" i="12"/>
  <c r="B402" i="12"/>
  <c r="B403" i="12"/>
  <c r="B404" i="12"/>
  <c r="B405" i="12"/>
  <c r="B406" i="12"/>
  <c r="B407" i="12"/>
  <c r="B408" i="12"/>
  <c r="B409" i="12"/>
  <c r="B410" i="12"/>
  <c r="B411" i="12"/>
  <c r="B412" i="12"/>
  <c r="B413" i="12"/>
  <c r="B414" i="12"/>
  <c r="B415" i="12"/>
  <c r="B416" i="12"/>
  <c r="B417" i="12"/>
  <c r="B418" i="12"/>
  <c r="B419" i="12"/>
  <c r="B420" i="12"/>
  <c r="B421" i="12"/>
  <c r="B422" i="12"/>
  <c r="B423" i="12"/>
  <c r="B424" i="12"/>
  <c r="B425" i="12"/>
  <c r="B426" i="12"/>
  <c r="B427" i="12"/>
  <c r="B428" i="12"/>
  <c r="B429" i="12"/>
  <c r="B430" i="12"/>
  <c r="B431" i="12"/>
  <c r="B432" i="12"/>
  <c r="B433" i="12"/>
  <c r="B434" i="12"/>
  <c r="D393" i="12"/>
  <c r="E393" i="12" s="1"/>
  <c r="D394" i="12"/>
  <c r="E394" i="12" s="1"/>
  <c r="D395" i="12"/>
  <c r="E395" i="12" s="1"/>
  <c r="D396" i="12"/>
  <c r="H396" i="12" s="1"/>
  <c r="D397" i="12"/>
  <c r="E397" i="12" s="1"/>
  <c r="D398" i="12"/>
  <c r="F398" i="12" s="1"/>
  <c r="D399" i="12"/>
  <c r="E399" i="12" s="1"/>
  <c r="D400" i="12"/>
  <c r="G400" i="12" s="1"/>
  <c r="D401" i="12"/>
  <c r="F401" i="12" s="1"/>
  <c r="D402" i="12"/>
  <c r="E402" i="12" s="1"/>
  <c r="D403" i="12"/>
  <c r="E403" i="12" s="1"/>
  <c r="D404" i="12"/>
  <c r="E404" i="12" s="1"/>
  <c r="D405" i="12"/>
  <c r="E405" i="12" s="1"/>
  <c r="D406" i="12"/>
  <c r="H406" i="12" s="1"/>
  <c r="D407" i="12"/>
  <c r="G407" i="12" s="1"/>
  <c r="D408" i="12"/>
  <c r="E408" i="12" s="1"/>
  <c r="D409" i="12"/>
  <c r="H409" i="12" s="1"/>
  <c r="D410" i="12"/>
  <c r="E410" i="12" s="1"/>
  <c r="D411" i="12"/>
  <c r="E411" i="12" s="1"/>
  <c r="D412" i="12"/>
  <c r="G412" i="12" s="1"/>
  <c r="D413" i="12"/>
  <c r="E413" i="12" s="1"/>
  <c r="D414" i="12"/>
  <c r="F414" i="12" s="1"/>
  <c r="D415" i="12"/>
  <c r="F415" i="12" s="1"/>
  <c r="D416" i="12"/>
  <c r="E416" i="12" s="1"/>
  <c r="D417" i="12"/>
  <c r="E417" i="12" s="1"/>
  <c r="D418" i="12"/>
  <c r="E418" i="12" s="1"/>
  <c r="D419" i="12"/>
  <c r="E419" i="12" s="1"/>
  <c r="D420" i="12"/>
  <c r="E420" i="12" s="1"/>
  <c r="D421" i="12"/>
  <c r="E421" i="12" s="1"/>
  <c r="D422" i="12"/>
  <c r="E422" i="12" s="1"/>
  <c r="D423" i="12"/>
  <c r="E423" i="12" s="1"/>
  <c r="D424" i="12"/>
  <c r="F424" i="12" s="1"/>
  <c r="D425" i="12"/>
  <c r="H425" i="12" s="1"/>
  <c r="D426" i="12"/>
  <c r="E426" i="12" s="1"/>
  <c r="D427" i="12"/>
  <c r="E427" i="12" s="1"/>
  <c r="D428" i="12"/>
  <c r="E428" i="12" s="1"/>
  <c r="D429" i="12"/>
  <c r="E429" i="12" s="1"/>
  <c r="D430" i="12"/>
  <c r="F430" i="12" s="1"/>
  <c r="D431" i="12"/>
  <c r="H431" i="12" s="1"/>
  <c r="D432" i="12"/>
  <c r="G432" i="12" s="1"/>
  <c r="D433" i="12"/>
  <c r="F433" i="12" s="1"/>
  <c r="D434" i="12"/>
  <c r="E434" i="12" s="1"/>
  <c r="F400" i="12"/>
  <c r="F408" i="12"/>
  <c r="F420" i="12"/>
  <c r="H420" i="12"/>
  <c r="G395" i="12"/>
  <c r="G403" i="12"/>
  <c r="G404" i="12"/>
  <c r="G411" i="12"/>
  <c r="G420" i="12"/>
  <c r="G429" i="12"/>
  <c r="B369" i="12"/>
  <c r="B370" i="12"/>
  <c r="B371" i="12"/>
  <c r="B372" i="12"/>
  <c r="B373" i="12"/>
  <c r="B374" i="12"/>
  <c r="B375" i="12"/>
  <c r="B376" i="12"/>
  <c r="B377" i="12"/>
  <c r="B378" i="12"/>
  <c r="B379" i="12"/>
  <c r="B380" i="12"/>
  <c r="B381" i="12"/>
  <c r="B382" i="12"/>
  <c r="B383" i="12"/>
  <c r="B384" i="12"/>
  <c r="B385" i="12"/>
  <c r="B386" i="12"/>
  <c r="B387" i="12"/>
  <c r="B388" i="12"/>
  <c r="B389" i="12"/>
  <c r="B390" i="12"/>
  <c r="B391" i="12"/>
  <c r="B392" i="12"/>
  <c r="D369" i="12"/>
  <c r="F369" i="12" s="1"/>
  <c r="D370" i="12"/>
  <c r="F370" i="12" s="1"/>
  <c r="D371" i="12"/>
  <c r="H371" i="12" s="1"/>
  <c r="D372" i="12"/>
  <c r="H372" i="12" s="1"/>
  <c r="D373" i="12"/>
  <c r="G373" i="12" s="1"/>
  <c r="D374" i="12"/>
  <c r="F374" i="12" s="1"/>
  <c r="D375" i="12"/>
  <c r="H375" i="12" s="1"/>
  <c r="D376" i="12"/>
  <c r="H376" i="12" s="1"/>
  <c r="D377" i="12"/>
  <c r="F377" i="12" s="1"/>
  <c r="D378" i="12"/>
  <c r="F378" i="12" s="1"/>
  <c r="D379" i="12"/>
  <c r="H379" i="12" s="1"/>
  <c r="D380" i="12"/>
  <c r="H380" i="12" s="1"/>
  <c r="D381" i="12"/>
  <c r="H381" i="12" s="1"/>
  <c r="D382" i="12"/>
  <c r="E382" i="12" s="1"/>
  <c r="D383" i="12"/>
  <c r="H383" i="12" s="1"/>
  <c r="D384" i="12"/>
  <c r="E384" i="12" s="1"/>
  <c r="D385" i="12"/>
  <c r="E385" i="12" s="1"/>
  <c r="D386" i="12"/>
  <c r="E386" i="12" s="1"/>
  <c r="D387" i="12"/>
  <c r="F387" i="12" s="1"/>
  <c r="D388" i="12"/>
  <c r="E388" i="12" s="1"/>
  <c r="D389" i="12"/>
  <c r="E389" i="12" s="1"/>
  <c r="D390" i="12"/>
  <c r="E390" i="12" s="1"/>
  <c r="D391" i="12"/>
  <c r="F391" i="12" s="1"/>
  <c r="D392" i="12"/>
  <c r="H392" i="12" s="1"/>
  <c r="E374" i="12"/>
  <c r="H374" i="12"/>
  <c r="H390" i="12"/>
  <c r="G374" i="12"/>
  <c r="B347" i="12"/>
  <c r="B348" i="12"/>
  <c r="B349" i="12"/>
  <c r="B350" i="12"/>
  <c r="B351" i="12"/>
  <c r="B352" i="12"/>
  <c r="B353" i="12"/>
  <c r="B354" i="12"/>
  <c r="B355" i="12"/>
  <c r="B356" i="12"/>
  <c r="B357" i="12"/>
  <c r="B358" i="12"/>
  <c r="B359" i="12"/>
  <c r="B360" i="12"/>
  <c r="B361" i="12"/>
  <c r="B362" i="12"/>
  <c r="B363" i="12"/>
  <c r="B364" i="12"/>
  <c r="B365" i="12"/>
  <c r="B366" i="12"/>
  <c r="B367" i="12"/>
  <c r="B368" i="12"/>
  <c r="D347" i="12"/>
  <c r="H347" i="12" s="1"/>
  <c r="D348" i="12"/>
  <c r="H348" i="12" s="1"/>
  <c r="D349" i="12"/>
  <c r="H349" i="12" s="1"/>
  <c r="D350" i="12"/>
  <c r="E350" i="12" s="1"/>
  <c r="D351" i="12"/>
  <c r="H351" i="12" s="1"/>
  <c r="D352" i="12"/>
  <c r="E352" i="12" s="1"/>
  <c r="D353" i="12"/>
  <c r="H353" i="12" s="1"/>
  <c r="D354" i="12"/>
  <c r="F354" i="12" s="1"/>
  <c r="D355" i="12"/>
  <c r="G355" i="12" s="1"/>
  <c r="D356" i="12"/>
  <c r="F356" i="12" s="1"/>
  <c r="D357" i="12"/>
  <c r="H357" i="12" s="1"/>
  <c r="D358" i="12"/>
  <c r="F358" i="12" s="1"/>
  <c r="D359" i="12"/>
  <c r="H359" i="12" s="1"/>
  <c r="D360" i="12"/>
  <c r="E360" i="12" s="1"/>
  <c r="D361" i="12"/>
  <c r="H361" i="12" s="1"/>
  <c r="D362" i="12"/>
  <c r="F362" i="12" s="1"/>
  <c r="D363" i="12"/>
  <c r="H363" i="12" s="1"/>
  <c r="D364" i="12"/>
  <c r="H364" i="12" s="1"/>
  <c r="D365" i="12"/>
  <c r="H365" i="12" s="1"/>
  <c r="D366" i="12"/>
  <c r="H366" i="12" s="1"/>
  <c r="D367" i="12"/>
  <c r="H367" i="12" s="1"/>
  <c r="D368" i="12"/>
  <c r="E368" i="12" s="1"/>
  <c r="F368" i="12"/>
  <c r="H354" i="12"/>
  <c r="H360" i="12"/>
  <c r="H368" i="12"/>
  <c r="G351" i="12"/>
  <c r="G354" i="12"/>
  <c r="B330" i="12"/>
  <c r="B331" i="12"/>
  <c r="B332" i="12"/>
  <c r="B333" i="12"/>
  <c r="B334" i="12"/>
  <c r="B335" i="12"/>
  <c r="B336" i="12"/>
  <c r="B337" i="12"/>
  <c r="B338" i="12"/>
  <c r="B339" i="12"/>
  <c r="B340" i="12"/>
  <c r="B341" i="12"/>
  <c r="B342" i="12"/>
  <c r="B343" i="12"/>
  <c r="B344" i="12"/>
  <c r="B345" i="12"/>
  <c r="B346" i="12"/>
  <c r="D330" i="12"/>
  <c r="F330" i="12" s="1"/>
  <c r="D331" i="12"/>
  <c r="E331" i="12" s="1"/>
  <c r="D332" i="12"/>
  <c r="H332" i="12" s="1"/>
  <c r="D333" i="12"/>
  <c r="F333" i="12" s="1"/>
  <c r="D334" i="12"/>
  <c r="F334" i="12" s="1"/>
  <c r="D335" i="12"/>
  <c r="E335" i="12" s="1"/>
  <c r="D336" i="12"/>
  <c r="F336" i="12" s="1"/>
  <c r="D337" i="12"/>
  <c r="E337" i="12" s="1"/>
  <c r="D338" i="12"/>
  <c r="E338" i="12" s="1"/>
  <c r="D339" i="12"/>
  <c r="E339" i="12" s="1"/>
  <c r="D340" i="12"/>
  <c r="H340" i="12" s="1"/>
  <c r="D341" i="12"/>
  <c r="F341" i="12" s="1"/>
  <c r="D342" i="12"/>
  <c r="F342" i="12" s="1"/>
  <c r="D343" i="12"/>
  <c r="E343" i="12" s="1"/>
  <c r="D344" i="12"/>
  <c r="E344" i="12" s="1"/>
  <c r="D345" i="12"/>
  <c r="E345" i="12" s="1"/>
  <c r="D346" i="12"/>
  <c r="H346" i="12" s="1"/>
  <c r="E346" i="12"/>
  <c r="F338" i="12"/>
  <c r="G330" i="12"/>
  <c r="B316" i="12"/>
  <c r="B317" i="12"/>
  <c r="B318" i="12"/>
  <c r="B319" i="12"/>
  <c r="B320" i="12"/>
  <c r="B321" i="12"/>
  <c r="B322" i="12"/>
  <c r="B323" i="12"/>
  <c r="B324" i="12"/>
  <c r="B325" i="12"/>
  <c r="B326" i="12"/>
  <c r="B327" i="12"/>
  <c r="B328" i="12"/>
  <c r="B329" i="12"/>
  <c r="D316" i="12"/>
  <c r="H316" i="12" s="1"/>
  <c r="D317" i="12"/>
  <c r="H317" i="12" s="1"/>
  <c r="D318" i="12"/>
  <c r="H318" i="12" s="1"/>
  <c r="D319" i="12"/>
  <c r="G319" i="12" s="1"/>
  <c r="D320" i="12"/>
  <c r="F320" i="12" s="1"/>
  <c r="D321" i="12"/>
  <c r="F321" i="12" s="1"/>
  <c r="D322" i="12"/>
  <c r="H322" i="12" s="1"/>
  <c r="D323" i="12"/>
  <c r="E323" i="12" s="1"/>
  <c r="D324" i="12"/>
  <c r="E324" i="12" s="1"/>
  <c r="D325" i="12"/>
  <c r="H325" i="12" s="1"/>
  <c r="D326" i="12"/>
  <c r="H326" i="12" s="1"/>
  <c r="D327" i="12"/>
  <c r="E327" i="12" s="1"/>
  <c r="D328" i="12"/>
  <c r="F328" i="12" s="1"/>
  <c r="D329" i="12"/>
  <c r="F329" i="12" s="1"/>
  <c r="B315" i="12"/>
  <c r="D315" i="12"/>
  <c r="E315" i="12" s="1"/>
  <c r="H413" i="12" l="1"/>
  <c r="F454" i="12"/>
  <c r="H475" i="12"/>
  <c r="E354" i="12"/>
  <c r="H373" i="12"/>
  <c r="E484" i="12"/>
  <c r="F376" i="12"/>
  <c r="F412" i="12"/>
  <c r="E376" i="12"/>
  <c r="E371" i="12"/>
  <c r="F331" i="12"/>
  <c r="E369" i="12"/>
  <c r="G428" i="12"/>
  <c r="G427" i="12"/>
  <c r="G469" i="12"/>
  <c r="H358" i="12"/>
  <c r="E409" i="12"/>
  <c r="E469" i="12"/>
  <c r="E448" i="12"/>
  <c r="G340" i="12"/>
  <c r="E358" i="12"/>
  <c r="G448" i="12"/>
  <c r="G316" i="12"/>
  <c r="H338" i="12"/>
  <c r="F324" i="12"/>
  <c r="F340" i="12"/>
  <c r="F428" i="12"/>
  <c r="E373" i="12"/>
  <c r="F416" i="12"/>
  <c r="E370" i="12"/>
  <c r="F464" i="12"/>
  <c r="E433" i="12"/>
  <c r="F325" i="12"/>
  <c r="E381" i="12"/>
  <c r="E316" i="12"/>
  <c r="H333" i="12"/>
  <c r="H350" i="12"/>
  <c r="E379" i="12"/>
  <c r="G419" i="12"/>
  <c r="G455" i="12"/>
  <c r="F457" i="12"/>
  <c r="E483" i="12"/>
  <c r="E476" i="12"/>
  <c r="E378" i="12"/>
  <c r="G414" i="12"/>
  <c r="F339" i="12"/>
  <c r="F360" i="12"/>
  <c r="G390" i="12"/>
  <c r="E377" i="12"/>
  <c r="G413" i="12"/>
  <c r="F396" i="12"/>
  <c r="G447" i="12"/>
  <c r="F453" i="12"/>
  <c r="G445" i="12"/>
  <c r="G382" i="12"/>
  <c r="F445" i="12"/>
  <c r="E355" i="12"/>
  <c r="G381" i="12"/>
  <c r="E375" i="12"/>
  <c r="E431" i="12"/>
  <c r="G441" i="12"/>
  <c r="F438" i="12"/>
  <c r="G492" i="12"/>
  <c r="G440" i="12"/>
  <c r="E332" i="12"/>
  <c r="H389" i="12"/>
  <c r="E372" i="12"/>
  <c r="H432" i="12"/>
  <c r="G437" i="12"/>
  <c r="E464" i="12"/>
  <c r="G484" i="12"/>
  <c r="E333" i="12"/>
  <c r="H382" i="12"/>
  <c r="H461" i="12"/>
  <c r="E456" i="12"/>
  <c r="G476" i="12"/>
  <c r="H414" i="12"/>
  <c r="F390" i="12"/>
  <c r="H412" i="12"/>
  <c r="G463" i="12"/>
  <c r="H440" i="12"/>
  <c r="H483" i="12"/>
  <c r="F382" i="12"/>
  <c r="G461" i="12"/>
  <c r="H478" i="12"/>
  <c r="G421" i="12"/>
  <c r="G457" i="12"/>
  <c r="F465" i="12"/>
  <c r="E492" i="12"/>
  <c r="G456" i="12"/>
  <c r="G467" i="12"/>
  <c r="H451" i="12"/>
  <c r="H423" i="12"/>
  <c r="G480" i="12"/>
  <c r="H327" i="12"/>
  <c r="G338" i="12"/>
  <c r="E330" i="12"/>
  <c r="G367" i="12"/>
  <c r="H356" i="12"/>
  <c r="E363" i="12"/>
  <c r="F385" i="12"/>
  <c r="H421" i="12"/>
  <c r="G450" i="12"/>
  <c r="H458" i="12"/>
  <c r="F443" i="12"/>
  <c r="E458" i="12"/>
  <c r="G491" i="12"/>
  <c r="G479" i="12"/>
  <c r="H480" i="12"/>
  <c r="E491" i="12"/>
  <c r="H377" i="12"/>
  <c r="F347" i="12"/>
  <c r="H399" i="12"/>
  <c r="G451" i="12"/>
  <c r="H319" i="12"/>
  <c r="G335" i="12"/>
  <c r="G362" i="12"/>
  <c r="H355" i="12"/>
  <c r="E362" i="12"/>
  <c r="G385" i="12"/>
  <c r="H385" i="12"/>
  <c r="G397" i="12"/>
  <c r="G459" i="12"/>
  <c r="G449" i="12"/>
  <c r="H454" i="12"/>
  <c r="H438" i="12"/>
  <c r="F459" i="12"/>
  <c r="F441" i="12"/>
  <c r="H479" i="12"/>
  <c r="G435" i="12"/>
  <c r="H435" i="12"/>
  <c r="F322" i="12"/>
  <c r="E340" i="12"/>
  <c r="G377" i="12"/>
  <c r="E392" i="12"/>
  <c r="H430" i="12"/>
  <c r="E406" i="12"/>
  <c r="G466" i="12"/>
  <c r="H470" i="12"/>
  <c r="F470" i="12"/>
  <c r="G483" i="12"/>
  <c r="G471" i="12"/>
  <c r="H471" i="12"/>
  <c r="E471" i="12"/>
  <c r="G325" i="12"/>
  <c r="E325" i="12"/>
  <c r="H331" i="12"/>
  <c r="H362" i="12"/>
  <c r="E347" i="12"/>
  <c r="E383" i="12"/>
  <c r="G406" i="12"/>
  <c r="H426" i="12"/>
  <c r="H405" i="12"/>
  <c r="F407" i="12"/>
  <c r="E400" i="12"/>
  <c r="G465" i="12"/>
  <c r="G443" i="12"/>
  <c r="H469" i="12"/>
  <c r="H443" i="12"/>
  <c r="F451" i="12"/>
  <c r="E467" i="12"/>
  <c r="E438" i="12"/>
  <c r="G482" i="12"/>
  <c r="H491" i="12"/>
  <c r="G317" i="12"/>
  <c r="E317" i="12"/>
  <c r="G346" i="12"/>
  <c r="F346" i="12"/>
  <c r="F355" i="12"/>
  <c r="G369" i="12"/>
  <c r="H369" i="12"/>
  <c r="G422" i="12"/>
  <c r="G405" i="12"/>
  <c r="H424" i="12"/>
  <c r="H404" i="12"/>
  <c r="F404" i="12"/>
  <c r="E396" i="12"/>
  <c r="G464" i="12"/>
  <c r="G442" i="12"/>
  <c r="H467" i="12"/>
  <c r="H442" i="12"/>
  <c r="F449" i="12"/>
  <c r="E466" i="12"/>
  <c r="E435" i="12"/>
  <c r="G481" i="12"/>
  <c r="H487" i="12"/>
  <c r="F475" i="12"/>
  <c r="H335" i="12"/>
  <c r="F363" i="12"/>
  <c r="F381" i="12"/>
  <c r="G417" i="12"/>
  <c r="H433" i="12"/>
  <c r="H422" i="12"/>
  <c r="H408" i="12"/>
  <c r="F432" i="12"/>
  <c r="F409" i="12"/>
  <c r="F393" i="12"/>
  <c r="E412" i="12"/>
  <c r="F440" i="12"/>
  <c r="G490" i="12"/>
  <c r="G472" i="12"/>
  <c r="H329" i="12"/>
  <c r="G364" i="12"/>
  <c r="G348" i="12"/>
  <c r="E380" i="12"/>
  <c r="G401" i="12"/>
  <c r="F425" i="12"/>
  <c r="H448" i="12"/>
  <c r="F462" i="12"/>
  <c r="E462" i="12"/>
  <c r="E446" i="12"/>
  <c r="G488" i="12"/>
  <c r="E488" i="12"/>
  <c r="E336" i="12"/>
  <c r="G329" i="12"/>
  <c r="H328" i="12"/>
  <c r="F316" i="12"/>
  <c r="G345" i="12"/>
  <c r="H330" i="12"/>
  <c r="F335" i="12"/>
  <c r="G363" i="12"/>
  <c r="G347" i="12"/>
  <c r="F352" i="12"/>
  <c r="E351" i="12"/>
  <c r="G392" i="12"/>
  <c r="G376" i="12"/>
  <c r="H384" i="12"/>
  <c r="F392" i="12"/>
  <c r="F373" i="12"/>
  <c r="G425" i="12"/>
  <c r="G398" i="12"/>
  <c r="H428" i="12"/>
  <c r="H417" i="12"/>
  <c r="H401" i="12"/>
  <c r="F422" i="12"/>
  <c r="F406" i="12"/>
  <c r="E401" i="12"/>
  <c r="G470" i="12"/>
  <c r="G462" i="12"/>
  <c r="G454" i="12"/>
  <c r="G446" i="12"/>
  <c r="H446" i="12"/>
  <c r="H436" i="12"/>
  <c r="F461" i="12"/>
  <c r="E459" i="12"/>
  <c r="E444" i="12"/>
  <c r="G478" i="12"/>
  <c r="H488" i="12"/>
  <c r="H472" i="12"/>
  <c r="E487" i="12"/>
  <c r="G344" i="12"/>
  <c r="E425" i="12"/>
  <c r="G486" i="12"/>
  <c r="H344" i="12"/>
  <c r="G324" i="12"/>
  <c r="H324" i="12"/>
  <c r="G343" i="12"/>
  <c r="H339" i="12"/>
  <c r="F345" i="12"/>
  <c r="G359" i="12"/>
  <c r="E364" i="12"/>
  <c r="G389" i="12"/>
  <c r="F389" i="12"/>
  <c r="G409" i="12"/>
  <c r="G396" i="12"/>
  <c r="F417" i="12"/>
  <c r="E424" i="12"/>
  <c r="E398" i="12"/>
  <c r="G468" i="12"/>
  <c r="G460" i="12"/>
  <c r="G452" i="12"/>
  <c r="G444" i="12"/>
  <c r="G436" i="12"/>
  <c r="H486" i="12"/>
  <c r="G322" i="12"/>
  <c r="G341" i="12"/>
  <c r="F344" i="12"/>
  <c r="G356" i="12"/>
  <c r="G433" i="12"/>
  <c r="H393" i="12"/>
  <c r="H456" i="12"/>
  <c r="E468" i="12"/>
  <c r="G474" i="12"/>
  <c r="E482" i="12"/>
  <c r="E322" i="12"/>
  <c r="G321" i="12"/>
  <c r="H336" i="12"/>
  <c r="F343" i="12"/>
  <c r="F364" i="12"/>
  <c r="G384" i="12"/>
  <c r="G430" i="12"/>
  <c r="G393" i="12"/>
  <c r="E414" i="12"/>
  <c r="E353" i="12"/>
  <c r="G328" i="12"/>
  <c r="G388" i="12"/>
  <c r="H388" i="12"/>
  <c r="F388" i="12"/>
  <c r="F379" i="12"/>
  <c r="E387" i="12"/>
  <c r="G327" i="12"/>
  <c r="H321" i="12"/>
  <c r="F319" i="12"/>
  <c r="E320" i="12"/>
  <c r="G326" i="12"/>
  <c r="G318" i="12"/>
  <c r="H320" i="12"/>
  <c r="F317" i="12"/>
  <c r="E319" i="12"/>
  <c r="G336" i="12"/>
  <c r="H341" i="12"/>
  <c r="E341" i="12"/>
  <c r="G368" i="12"/>
  <c r="G360" i="12"/>
  <c r="G352" i="12"/>
  <c r="H352" i="12"/>
  <c r="F361" i="12"/>
  <c r="F348" i="12"/>
  <c r="E359" i="12"/>
  <c r="E348" i="12"/>
  <c r="G386" i="12"/>
  <c r="G378" i="12"/>
  <c r="G370" i="12"/>
  <c r="H386" i="12"/>
  <c r="H378" i="12"/>
  <c r="H370" i="12"/>
  <c r="F386" i="12"/>
  <c r="G434" i="12"/>
  <c r="G426" i="12"/>
  <c r="G418" i="12"/>
  <c r="G410" i="12"/>
  <c r="G402" i="12"/>
  <c r="G394" i="12"/>
  <c r="H418" i="12"/>
  <c r="H400" i="12"/>
  <c r="F423" i="12"/>
  <c r="E432" i="12"/>
  <c r="E407" i="12"/>
  <c r="H468" i="12"/>
  <c r="H450" i="12"/>
  <c r="F460" i="12"/>
  <c r="F452" i="12"/>
  <c r="F444" i="12"/>
  <c r="F436" i="12"/>
  <c r="E463" i="12"/>
  <c r="F485" i="12"/>
  <c r="E493" i="12"/>
  <c r="F410" i="12"/>
  <c r="E328" i="12"/>
  <c r="G333" i="12"/>
  <c r="F332" i="12"/>
  <c r="G366" i="12"/>
  <c r="G358" i="12"/>
  <c r="G350" i="12"/>
  <c r="E367" i="12"/>
  <c r="E356" i="12"/>
  <c r="F383" i="12"/>
  <c r="F375" i="12"/>
  <c r="E391" i="12"/>
  <c r="G424" i="12"/>
  <c r="G416" i="12"/>
  <c r="G408" i="12"/>
  <c r="H434" i="12"/>
  <c r="H416" i="12"/>
  <c r="H407" i="12"/>
  <c r="H398" i="12"/>
  <c r="F431" i="12"/>
  <c r="F399" i="12"/>
  <c r="E430" i="12"/>
  <c r="H466" i="12"/>
  <c r="H447" i="12"/>
  <c r="F442" i="12"/>
  <c r="E452" i="12"/>
  <c r="G493" i="12"/>
  <c r="G485" i="12"/>
  <c r="G477" i="12"/>
  <c r="F482" i="12"/>
  <c r="E480" i="12"/>
  <c r="G323" i="12"/>
  <c r="F327" i="12"/>
  <c r="G332" i="12"/>
  <c r="G365" i="12"/>
  <c r="G357" i="12"/>
  <c r="G349" i="12"/>
  <c r="E366" i="12"/>
  <c r="G391" i="12"/>
  <c r="G383" i="12"/>
  <c r="G375" i="12"/>
  <c r="H391" i="12"/>
  <c r="G431" i="12"/>
  <c r="G423" i="12"/>
  <c r="G415" i="12"/>
  <c r="G399" i="12"/>
  <c r="H415" i="12"/>
  <c r="H397" i="12"/>
  <c r="F418" i="12"/>
  <c r="E415" i="12"/>
  <c r="H455" i="12"/>
  <c r="E460" i="12"/>
  <c r="E490" i="12"/>
  <c r="E479" i="12"/>
  <c r="H463" i="12"/>
  <c r="F493" i="12"/>
  <c r="F477" i="12"/>
  <c r="F380" i="12"/>
  <c r="F372" i="12"/>
  <c r="H394" i="12"/>
  <c r="F426" i="12"/>
  <c r="F394" i="12"/>
  <c r="F455" i="12"/>
  <c r="F447" i="12"/>
  <c r="F439" i="12"/>
  <c r="F353" i="12"/>
  <c r="G320" i="12"/>
  <c r="G372" i="12"/>
  <c r="F371" i="12"/>
  <c r="H402" i="12"/>
  <c r="F490" i="12"/>
  <c r="F474" i="12"/>
  <c r="E485" i="12"/>
  <c r="E474" i="12"/>
  <c r="F366" i="12"/>
  <c r="G380" i="12"/>
  <c r="G337" i="12"/>
  <c r="H343" i="12"/>
  <c r="F337" i="12"/>
  <c r="G361" i="12"/>
  <c r="G353" i="12"/>
  <c r="F350" i="12"/>
  <c r="E361" i="12"/>
  <c r="G387" i="12"/>
  <c r="G379" i="12"/>
  <c r="G371" i="12"/>
  <c r="H387" i="12"/>
  <c r="H429" i="12"/>
  <c r="H410" i="12"/>
  <c r="F434" i="12"/>
  <c r="F402" i="12"/>
  <c r="F472" i="12"/>
  <c r="H492" i="12"/>
  <c r="H484" i="12"/>
  <c r="H476" i="12"/>
  <c r="F486" i="12"/>
  <c r="F478" i="12"/>
  <c r="H489" i="12"/>
  <c r="H481" i="12"/>
  <c r="H473" i="12"/>
  <c r="E477" i="12"/>
  <c r="F489" i="12"/>
  <c r="F481" i="12"/>
  <c r="F473" i="12"/>
  <c r="H465" i="12"/>
  <c r="H457" i="12"/>
  <c r="H449" i="12"/>
  <c r="H441" i="12"/>
  <c r="H427" i="12"/>
  <c r="H419" i="12"/>
  <c r="H411" i="12"/>
  <c r="H403" i="12"/>
  <c r="H395" i="12"/>
  <c r="F429" i="12"/>
  <c r="F421" i="12"/>
  <c r="F413" i="12"/>
  <c r="F405" i="12"/>
  <c r="F397" i="12"/>
  <c r="F427" i="12"/>
  <c r="F419" i="12"/>
  <c r="F411" i="12"/>
  <c r="F403" i="12"/>
  <c r="F395" i="12"/>
  <c r="F384" i="12"/>
  <c r="F367" i="12"/>
  <c r="F359" i="12"/>
  <c r="F351" i="12"/>
  <c r="E365" i="12"/>
  <c r="E357" i="12"/>
  <c r="E349" i="12"/>
  <c r="F365" i="12"/>
  <c r="F357" i="12"/>
  <c r="F349" i="12"/>
  <c r="G339" i="12"/>
  <c r="G331" i="12"/>
  <c r="E342" i="12"/>
  <c r="E334" i="12"/>
  <c r="H345" i="12"/>
  <c r="H337" i="12"/>
  <c r="G342" i="12"/>
  <c r="G334" i="12"/>
  <c r="H342" i="12"/>
  <c r="H334" i="12"/>
  <c r="F323" i="12"/>
  <c r="E329" i="12"/>
  <c r="E321" i="12"/>
  <c r="H323" i="12"/>
  <c r="E326" i="12"/>
  <c r="E318" i="12"/>
  <c r="F326" i="12"/>
  <c r="F318" i="12"/>
  <c r="G315" i="12"/>
  <c r="H315" i="12"/>
  <c r="F315" i="12"/>
  <c r="A1" i="20"/>
  <c r="B55" i="16" l="1"/>
  <c r="B56" i="16"/>
  <c r="B57" i="16"/>
  <c r="B58" i="16"/>
  <c r="B59" i="16"/>
  <c r="B60" i="16"/>
  <c r="B1" i="15" l="1"/>
  <c r="D11" i="17" l="1"/>
  <c r="D10" i="17"/>
  <c r="D9" i="17"/>
  <c r="D8" i="17"/>
  <c r="D7" i="17"/>
  <c r="D6" i="17"/>
  <c r="D3" i="17"/>
  <c r="D2" i="17"/>
  <c r="B45" i="16" l="1"/>
  <c r="B46" i="16"/>
  <c r="B47" i="16"/>
  <c r="B48" i="16"/>
  <c r="B49" i="16"/>
  <c r="B50" i="16"/>
  <c r="B51" i="16"/>
  <c r="B52" i="16"/>
  <c r="B53" i="16"/>
  <c r="B54" i="16"/>
  <c r="B63" i="16"/>
  <c r="B64" i="16"/>
  <c r="B65" i="16"/>
  <c r="B66" i="16"/>
  <c r="B67" i="16"/>
  <c r="B68" i="16"/>
  <c r="B69" i="16"/>
  <c r="B70" i="16"/>
  <c r="B71" i="16"/>
  <c r="B72" i="16"/>
  <c r="B73" i="16"/>
  <c r="B74" i="16"/>
  <c r="B75" i="16"/>
  <c r="B76" i="16"/>
  <c r="B77" i="16"/>
  <c r="B78" i="16"/>
  <c r="B79" i="16"/>
  <c r="B80" i="16"/>
  <c r="B81" i="16"/>
  <c r="B82" i="16"/>
  <c r="B83" i="16"/>
  <c r="B84" i="16"/>
  <c r="B85" i="16"/>
  <c r="B86" i="16"/>
  <c r="B87" i="16"/>
  <c r="B88" i="16"/>
  <c r="B89" i="16"/>
  <c r="B90" i="16"/>
  <c r="B91" i="16"/>
  <c r="B92" i="16"/>
  <c r="B93" i="16"/>
  <c r="B94" i="16"/>
  <c r="B95" i="16"/>
  <c r="B96" i="16"/>
  <c r="B97" i="16"/>
  <c r="B98" i="16"/>
  <c r="B99" i="16"/>
  <c r="B100" i="16"/>
  <c r="B101" i="16"/>
  <c r="B102" i="16"/>
  <c r="B103" i="16"/>
  <c r="B104" i="16"/>
  <c r="B105" i="16"/>
  <c r="B106" i="16"/>
  <c r="B107" i="16"/>
  <c r="B108" i="16"/>
  <c r="B109" i="16"/>
  <c r="B110" i="16"/>
  <c r="B111" i="16"/>
  <c r="B112" i="16"/>
  <c r="B113" i="16"/>
  <c r="B114" i="16"/>
  <c r="B115" i="16"/>
  <c r="B116" i="16"/>
  <c r="B117" i="16"/>
  <c r="B118" i="16"/>
  <c r="B119" i="16"/>
  <c r="B120" i="16"/>
  <c r="B121" i="16"/>
  <c r="B122" i="16"/>
  <c r="B123" i="16"/>
  <c r="B124" i="16"/>
  <c r="B125" i="16"/>
  <c r="B126" i="16"/>
  <c r="B127" i="16"/>
  <c r="B128" i="16"/>
  <c r="B129" i="16"/>
  <c r="B130" i="16"/>
  <c r="B131" i="16"/>
  <c r="B132" i="16"/>
  <c r="B133" i="16"/>
  <c r="B134" i="16"/>
  <c r="B135" i="16"/>
  <c r="B136" i="16"/>
  <c r="B137" i="16"/>
  <c r="B138" i="16"/>
  <c r="B139" i="16"/>
  <c r="B140" i="16"/>
  <c r="B141" i="16"/>
  <c r="B142" i="16"/>
  <c r="B143" i="16"/>
  <c r="B144" i="16"/>
  <c r="B145" i="16"/>
  <c r="B146" i="16"/>
  <c r="B147" i="16"/>
  <c r="B148" i="16"/>
  <c r="B149" i="16"/>
  <c r="B150" i="16"/>
  <c r="B151" i="16"/>
  <c r="B152" i="16"/>
  <c r="B153" i="16"/>
  <c r="B154" i="16"/>
  <c r="B155" i="16"/>
  <c r="B156" i="16"/>
  <c r="B157" i="16"/>
  <c r="B158" i="16"/>
  <c r="B159" i="16"/>
  <c r="B160" i="16"/>
  <c r="B161" i="16"/>
  <c r="B162" i="16"/>
  <c r="B163" i="16"/>
  <c r="B164" i="16"/>
  <c r="B165" i="16"/>
  <c r="B166" i="16"/>
  <c r="B167" i="16"/>
  <c r="B168" i="16"/>
  <c r="B169" i="16"/>
  <c r="B170" i="16"/>
  <c r="B171" i="16"/>
  <c r="B172" i="16"/>
  <c r="B173" i="16"/>
  <c r="B174" i="16"/>
  <c r="B175" i="16"/>
  <c r="B176" i="16"/>
  <c r="B177" i="16"/>
  <c r="B178" i="16"/>
  <c r="B179" i="16"/>
  <c r="B180" i="16"/>
  <c r="B181" i="16"/>
  <c r="B182" i="16"/>
  <c r="B183" i="16"/>
  <c r="B184" i="16"/>
  <c r="B185" i="16"/>
  <c r="B186" i="16"/>
  <c r="B187" i="16"/>
  <c r="B188" i="16"/>
  <c r="B189" i="16"/>
  <c r="B190" i="16"/>
  <c r="B191" i="16"/>
  <c r="B192" i="16"/>
  <c r="B193" i="16"/>
  <c r="B194" i="16"/>
  <c r="B195" i="16"/>
  <c r="B196" i="16"/>
  <c r="B197" i="16"/>
  <c r="B198" i="16"/>
  <c r="B199" i="16"/>
  <c r="B200" i="16"/>
  <c r="B201" i="16"/>
  <c r="B202" i="16"/>
  <c r="B203" i="16"/>
  <c r="B204" i="16"/>
  <c r="B205" i="16"/>
  <c r="B206" i="16"/>
  <c r="B207" i="16"/>
  <c r="B208" i="16"/>
  <c r="B209" i="16"/>
  <c r="B210" i="16"/>
  <c r="B211" i="16"/>
  <c r="B212" i="16"/>
  <c r="B213" i="16"/>
  <c r="B214" i="16"/>
  <c r="B215" i="16"/>
  <c r="B216" i="16"/>
  <c r="B217" i="16"/>
  <c r="B218" i="16"/>
  <c r="B219" i="16"/>
  <c r="B220" i="16"/>
  <c r="B221" i="16"/>
  <c r="B222" i="16"/>
  <c r="B223" i="16"/>
  <c r="B224" i="16"/>
  <c r="B225" i="16"/>
  <c r="B226" i="16"/>
  <c r="B227" i="16"/>
  <c r="B228" i="16"/>
  <c r="B229" i="16"/>
  <c r="B230" i="16"/>
  <c r="B231" i="16"/>
  <c r="B232" i="16"/>
  <c r="B233" i="16"/>
  <c r="B234" i="16"/>
  <c r="B235" i="16"/>
  <c r="B236" i="16"/>
  <c r="B237" i="16"/>
  <c r="B238" i="16"/>
  <c r="B239" i="16"/>
  <c r="B240" i="16"/>
  <c r="B241" i="16"/>
  <c r="B242" i="16"/>
  <c r="B243" i="16"/>
  <c r="B244" i="16"/>
  <c r="B245" i="16"/>
  <c r="B246" i="16"/>
  <c r="B247" i="16"/>
  <c r="B248" i="16"/>
  <c r="B249" i="16"/>
  <c r="B250" i="16"/>
  <c r="B251" i="16"/>
  <c r="B252" i="16"/>
  <c r="B253" i="16"/>
  <c r="B254" i="16"/>
  <c r="B255" i="16"/>
  <c r="B256" i="16"/>
  <c r="B257" i="16"/>
  <c r="B258" i="16"/>
  <c r="B259" i="16"/>
  <c r="B260" i="16"/>
  <c r="B261" i="16"/>
  <c r="B262" i="16"/>
  <c r="B263" i="16"/>
  <c r="B264" i="16"/>
  <c r="B265" i="16"/>
  <c r="B266" i="16"/>
  <c r="B267" i="16"/>
  <c r="B268" i="16"/>
  <c r="B269" i="16"/>
  <c r="B270" i="16"/>
  <c r="B271" i="16"/>
  <c r="B272" i="16"/>
  <c r="B273" i="16"/>
  <c r="B274" i="16"/>
  <c r="B275" i="16"/>
  <c r="B276" i="16"/>
  <c r="B277" i="16"/>
  <c r="B278" i="16"/>
  <c r="B279" i="16"/>
  <c r="B280" i="16"/>
  <c r="B281" i="16"/>
  <c r="B282" i="16"/>
  <c r="B283" i="16"/>
  <c r="B284" i="16"/>
  <c r="B285" i="16"/>
  <c r="B286" i="16"/>
  <c r="B287" i="16"/>
  <c r="B288" i="16"/>
  <c r="B289" i="16"/>
  <c r="B290" i="16"/>
  <c r="B291" i="16"/>
  <c r="B292" i="16"/>
  <c r="B293" i="16"/>
  <c r="B294" i="16"/>
  <c r="B295" i="16"/>
  <c r="B296" i="16"/>
  <c r="B297" i="16"/>
  <c r="B298" i="16"/>
  <c r="B299" i="16"/>
  <c r="B300" i="16"/>
  <c r="B301" i="16"/>
  <c r="B302" i="16"/>
  <c r="B303" i="16"/>
  <c r="B304" i="16"/>
  <c r="B305" i="16"/>
  <c r="B306" i="16"/>
  <c r="B307" i="16"/>
  <c r="B308" i="16"/>
  <c r="B309" i="16"/>
  <c r="B310" i="16"/>
  <c r="A18" i="15" l="1"/>
  <c r="B120" i="12"/>
  <c r="C120" i="12" s="1"/>
  <c r="B121" i="12"/>
  <c r="C121" i="12" s="1"/>
  <c r="B122" i="12"/>
  <c r="C122" i="12" s="1"/>
  <c r="B123" i="12"/>
  <c r="C123" i="12" s="1"/>
  <c r="B124" i="12"/>
  <c r="C124" i="12" s="1"/>
  <c r="B125" i="12"/>
  <c r="C125" i="12" s="1"/>
  <c r="B126" i="12"/>
  <c r="C126" i="12" s="1"/>
  <c r="B127" i="12"/>
  <c r="C127" i="12" s="1"/>
  <c r="B128" i="12"/>
  <c r="C128" i="12" s="1"/>
  <c r="B129" i="12"/>
  <c r="C129" i="12" s="1"/>
  <c r="B130" i="12"/>
  <c r="C130" i="12" s="1"/>
  <c r="B131" i="12"/>
  <c r="C131" i="12" s="1"/>
  <c r="B132" i="12"/>
  <c r="C132" i="12" s="1"/>
  <c r="B133" i="12"/>
  <c r="C133" i="12" s="1"/>
  <c r="B134" i="12"/>
  <c r="C134" i="12" s="1"/>
  <c r="B135" i="12"/>
  <c r="C135" i="12" s="1"/>
  <c r="B136" i="12"/>
  <c r="C136" i="12" s="1"/>
  <c r="B137" i="12"/>
  <c r="C137" i="12" s="1"/>
  <c r="B138" i="12"/>
  <c r="C138" i="12" s="1"/>
  <c r="B139" i="12"/>
  <c r="C139" i="12" s="1"/>
  <c r="B140" i="12"/>
  <c r="C140" i="12" s="1"/>
  <c r="B141" i="12"/>
  <c r="C141" i="12" s="1"/>
  <c r="B142" i="12"/>
  <c r="C142" i="12" s="1"/>
  <c r="B143" i="12"/>
  <c r="C143" i="12" s="1"/>
  <c r="B144" i="12"/>
  <c r="C144" i="12" s="1"/>
  <c r="B145" i="12"/>
  <c r="C145" i="12" s="1"/>
  <c r="B146" i="12"/>
  <c r="C146" i="12" s="1"/>
  <c r="B147" i="12"/>
  <c r="C147" i="12" s="1"/>
  <c r="B148" i="12"/>
  <c r="C148" i="12" s="1"/>
  <c r="B149" i="12"/>
  <c r="C149" i="12" s="1"/>
  <c r="B150" i="12"/>
  <c r="C150" i="12" s="1"/>
  <c r="B151" i="12"/>
  <c r="C151" i="12" s="1"/>
  <c r="B152" i="12"/>
  <c r="C152" i="12" s="1"/>
  <c r="B153" i="12"/>
  <c r="C153" i="12" s="1"/>
  <c r="B154" i="12"/>
  <c r="C154" i="12" s="1"/>
  <c r="B155" i="12"/>
  <c r="C155" i="12" s="1"/>
  <c r="B156" i="12"/>
  <c r="C156" i="12" s="1"/>
  <c r="B157" i="12"/>
  <c r="C157" i="12" s="1"/>
  <c r="B158" i="12"/>
  <c r="C158" i="12" s="1"/>
  <c r="B159" i="12"/>
  <c r="C159" i="12" s="1"/>
  <c r="B160" i="12"/>
  <c r="C160" i="12" s="1"/>
  <c r="B161" i="12"/>
  <c r="C161" i="12" s="1"/>
  <c r="B162" i="12"/>
  <c r="C162" i="12" s="1"/>
  <c r="B163" i="12"/>
  <c r="C163" i="12" s="1"/>
  <c r="B164" i="12"/>
  <c r="C164" i="12" s="1"/>
  <c r="B165" i="12"/>
  <c r="C165" i="12" s="1"/>
  <c r="B166" i="12"/>
  <c r="C166" i="12" s="1"/>
  <c r="B167" i="12"/>
  <c r="C167" i="12" s="1"/>
  <c r="B168" i="12"/>
  <c r="C168" i="12" s="1"/>
  <c r="B169" i="12"/>
  <c r="C169" i="12" s="1"/>
  <c r="B170" i="12"/>
  <c r="C170" i="12" s="1"/>
  <c r="B171" i="12"/>
  <c r="C171" i="12" s="1"/>
  <c r="B172" i="12"/>
  <c r="C172" i="12" s="1"/>
  <c r="B173" i="12"/>
  <c r="C173" i="12" s="1"/>
  <c r="B174" i="12"/>
  <c r="C174" i="12" s="1"/>
  <c r="B175" i="12"/>
  <c r="C175" i="12" s="1"/>
  <c r="B176" i="12"/>
  <c r="C176" i="12" s="1"/>
  <c r="B177" i="12"/>
  <c r="C177" i="12" s="1"/>
  <c r="B178" i="12"/>
  <c r="C178" i="12" s="1"/>
  <c r="B179" i="12"/>
  <c r="C179" i="12" s="1"/>
  <c r="B180" i="12"/>
  <c r="C180" i="12" s="1"/>
  <c r="B181" i="12"/>
  <c r="C181" i="12" s="1"/>
  <c r="B182" i="12"/>
  <c r="C182" i="12" s="1"/>
  <c r="B183" i="12"/>
  <c r="C183" i="12" s="1"/>
  <c r="B184" i="12"/>
  <c r="C184" i="12" s="1"/>
  <c r="B185" i="12"/>
  <c r="C185" i="12" s="1"/>
  <c r="B186" i="12"/>
  <c r="C186" i="12" s="1"/>
  <c r="B187" i="12"/>
  <c r="C187" i="12" s="1"/>
  <c r="B188" i="12"/>
  <c r="C188" i="12" s="1"/>
  <c r="B189" i="12"/>
  <c r="C189" i="12" s="1"/>
  <c r="B190" i="12"/>
  <c r="C190" i="12" s="1"/>
  <c r="B191" i="12"/>
  <c r="C191" i="12" s="1"/>
  <c r="B192" i="12"/>
  <c r="C192" i="12" s="1"/>
  <c r="B193" i="12"/>
  <c r="C193" i="12" s="1"/>
  <c r="B194" i="12"/>
  <c r="C194" i="12" s="1"/>
  <c r="B195" i="12"/>
  <c r="C195" i="12" s="1"/>
  <c r="B196" i="12"/>
  <c r="C196" i="12" s="1"/>
  <c r="B197" i="12"/>
  <c r="C197" i="12" s="1"/>
  <c r="B198" i="12"/>
  <c r="C198" i="12" s="1"/>
  <c r="B199" i="12"/>
  <c r="C199" i="12" s="1"/>
  <c r="B200" i="12"/>
  <c r="C200" i="12" s="1"/>
  <c r="B201" i="12"/>
  <c r="C201" i="12" s="1"/>
  <c r="B202" i="12"/>
  <c r="C202" i="12" s="1"/>
  <c r="B203" i="12"/>
  <c r="C203" i="12" s="1"/>
  <c r="B204" i="12"/>
  <c r="C204" i="12" s="1"/>
  <c r="B205" i="12"/>
  <c r="C205" i="12" s="1"/>
  <c r="B206" i="12"/>
  <c r="C206" i="12" s="1"/>
  <c r="B207" i="12"/>
  <c r="C207" i="12" s="1"/>
  <c r="B208" i="12"/>
  <c r="B209" i="12"/>
  <c r="B210" i="12"/>
  <c r="B211" i="12"/>
  <c r="B212" i="12"/>
  <c r="B213" i="12"/>
  <c r="B214" i="12"/>
  <c r="B215" i="12"/>
  <c r="B216" i="12"/>
  <c r="B217" i="12"/>
  <c r="B218" i="12"/>
  <c r="B219" i="12"/>
  <c r="B220" i="12"/>
  <c r="B221" i="12"/>
  <c r="B222" i="12"/>
  <c r="B223" i="12"/>
  <c r="B224" i="12"/>
  <c r="B225" i="12"/>
  <c r="B226" i="12"/>
  <c r="B227" i="12"/>
  <c r="B228" i="12"/>
  <c r="B229" i="12"/>
  <c r="B230" i="12"/>
  <c r="B231" i="12"/>
  <c r="B232" i="12"/>
  <c r="B233" i="12"/>
  <c r="B234" i="12"/>
  <c r="B235" i="12"/>
  <c r="B236" i="12"/>
  <c r="B237" i="12"/>
  <c r="B238" i="12"/>
  <c r="B239" i="12"/>
  <c r="B240" i="12"/>
  <c r="B241" i="12"/>
  <c r="B242" i="12"/>
  <c r="B243" i="12"/>
  <c r="B244" i="12"/>
  <c r="B245" i="12"/>
  <c r="B246" i="12"/>
  <c r="B247" i="12"/>
  <c r="B248" i="12"/>
  <c r="B249" i="12"/>
  <c r="B250" i="12"/>
  <c r="B251" i="12"/>
  <c r="B252" i="12"/>
  <c r="B253" i="12"/>
  <c r="B254" i="12"/>
  <c r="B255" i="12"/>
  <c r="B256" i="12"/>
  <c r="B257" i="12"/>
  <c r="B258" i="12"/>
  <c r="B259" i="12"/>
  <c r="B260" i="12"/>
  <c r="B261" i="12"/>
  <c r="B262" i="12"/>
  <c r="B263" i="12"/>
  <c r="B264" i="12"/>
  <c r="B265" i="12"/>
  <c r="B266" i="12"/>
  <c r="B267" i="12"/>
  <c r="B268" i="12"/>
  <c r="B269" i="12"/>
  <c r="B270" i="12"/>
  <c r="B271" i="12"/>
  <c r="B272" i="12"/>
  <c r="B273" i="12"/>
  <c r="B274" i="12"/>
  <c r="B275" i="12"/>
  <c r="B276" i="12"/>
  <c r="B277" i="12"/>
  <c r="B278" i="12"/>
  <c r="B279" i="12"/>
  <c r="B280" i="12"/>
  <c r="B281" i="12"/>
  <c r="B282" i="12"/>
  <c r="B283" i="12"/>
  <c r="B284" i="12"/>
  <c r="B285" i="12"/>
  <c r="B286" i="12"/>
  <c r="B287" i="12"/>
  <c r="B288" i="12"/>
  <c r="B289" i="12"/>
  <c r="B290" i="12"/>
  <c r="B291" i="12"/>
  <c r="B292" i="12"/>
  <c r="B293" i="12"/>
  <c r="B294" i="12"/>
  <c r="B295" i="12"/>
  <c r="B296" i="12"/>
  <c r="B297" i="12"/>
  <c r="B298" i="12"/>
  <c r="B299" i="12"/>
  <c r="B300" i="12"/>
  <c r="B301" i="12"/>
  <c r="B302" i="12"/>
  <c r="B303" i="12"/>
  <c r="B304" i="12"/>
  <c r="B305" i="12"/>
  <c r="B306" i="12"/>
  <c r="B307" i="12"/>
  <c r="B308" i="12"/>
  <c r="B309" i="12"/>
  <c r="B310" i="12"/>
  <c r="B311" i="12"/>
  <c r="B312" i="12"/>
  <c r="B313" i="12"/>
  <c r="B314" i="12"/>
  <c r="D120" i="12"/>
  <c r="G120" i="12" s="1"/>
  <c r="D121" i="12"/>
  <c r="D122" i="12"/>
  <c r="G122" i="12" s="1"/>
  <c r="D123" i="12"/>
  <c r="G123" i="12" s="1"/>
  <c r="D124" i="12"/>
  <c r="D125" i="12"/>
  <c r="G125" i="12" s="1"/>
  <c r="D126" i="12"/>
  <c r="G126" i="12" s="1"/>
  <c r="D127" i="12"/>
  <c r="G127" i="12" s="1"/>
  <c r="D128" i="12"/>
  <c r="G128" i="12" s="1"/>
  <c r="D129" i="12"/>
  <c r="G129" i="12" s="1"/>
  <c r="D130" i="12"/>
  <c r="G130" i="12" s="1"/>
  <c r="D131" i="12"/>
  <c r="G131" i="12" s="1"/>
  <c r="D132" i="12"/>
  <c r="D133" i="12"/>
  <c r="G133" i="12" s="1"/>
  <c r="D134" i="12"/>
  <c r="G134" i="12" s="1"/>
  <c r="D135" i="12"/>
  <c r="G135" i="12" s="1"/>
  <c r="D136" i="12"/>
  <c r="G136" i="12" s="1"/>
  <c r="D137" i="12"/>
  <c r="D138" i="12"/>
  <c r="G138" i="12" s="1"/>
  <c r="D139" i="12"/>
  <c r="D140" i="12"/>
  <c r="D141" i="12"/>
  <c r="G141" i="12" s="1"/>
  <c r="D142" i="12"/>
  <c r="G142" i="12" s="1"/>
  <c r="D143" i="12"/>
  <c r="G143" i="12" s="1"/>
  <c r="D144" i="12"/>
  <c r="G144" i="12" s="1"/>
  <c r="D145" i="12"/>
  <c r="D146" i="12"/>
  <c r="G146" i="12" s="1"/>
  <c r="D147" i="12"/>
  <c r="G147" i="12" s="1"/>
  <c r="D148" i="12"/>
  <c r="D149" i="12"/>
  <c r="G149" i="12" s="1"/>
  <c r="D150" i="12"/>
  <c r="G150" i="12" s="1"/>
  <c r="D151" i="12"/>
  <c r="G151" i="12" s="1"/>
  <c r="D152" i="12"/>
  <c r="G152" i="12" s="1"/>
  <c r="D153" i="12"/>
  <c r="D154" i="12"/>
  <c r="G154" i="12" s="1"/>
  <c r="D155" i="12"/>
  <c r="G155" i="12" s="1"/>
  <c r="D156" i="12"/>
  <c r="G156" i="12" s="1"/>
  <c r="D157" i="12"/>
  <c r="G157" i="12" s="1"/>
  <c r="D158" i="12"/>
  <c r="G158" i="12" s="1"/>
  <c r="D159" i="12"/>
  <c r="G159" i="12" s="1"/>
  <c r="D160" i="12"/>
  <c r="G160" i="12" s="1"/>
  <c r="D161" i="12"/>
  <c r="G161" i="12" s="1"/>
  <c r="D162" i="12"/>
  <c r="G162" i="12" s="1"/>
  <c r="D163" i="12"/>
  <c r="G163" i="12" s="1"/>
  <c r="D164" i="12"/>
  <c r="D165" i="12"/>
  <c r="G165" i="12" s="1"/>
  <c r="D166" i="12"/>
  <c r="G166" i="12" s="1"/>
  <c r="D167" i="12"/>
  <c r="G167" i="12" s="1"/>
  <c r="D168" i="12"/>
  <c r="G168" i="12" s="1"/>
  <c r="D169" i="12"/>
  <c r="D170" i="12"/>
  <c r="G170" i="12" s="1"/>
  <c r="D171" i="12"/>
  <c r="G171" i="12" s="1"/>
  <c r="D172" i="12"/>
  <c r="D173" i="12"/>
  <c r="G173" i="12" s="1"/>
  <c r="D174" i="12"/>
  <c r="D175" i="12"/>
  <c r="G175" i="12" s="1"/>
  <c r="D176" i="12"/>
  <c r="G176" i="12" s="1"/>
  <c r="D177" i="12"/>
  <c r="D178" i="12"/>
  <c r="G178" i="12" s="1"/>
  <c r="D179" i="12"/>
  <c r="G179" i="12" s="1"/>
  <c r="D180" i="12"/>
  <c r="D181" i="12"/>
  <c r="G181" i="12" s="1"/>
  <c r="D182" i="12"/>
  <c r="D183" i="12"/>
  <c r="G183" i="12" s="1"/>
  <c r="D184" i="12"/>
  <c r="G184" i="12" s="1"/>
  <c r="D185" i="12"/>
  <c r="D186" i="12"/>
  <c r="G186" i="12" s="1"/>
  <c r="D187" i="12"/>
  <c r="G187" i="12" s="1"/>
  <c r="D188" i="12"/>
  <c r="D189" i="12"/>
  <c r="G189" i="12" s="1"/>
  <c r="D190" i="12"/>
  <c r="D191" i="12"/>
  <c r="G191" i="12" s="1"/>
  <c r="D192" i="12"/>
  <c r="G192" i="12" s="1"/>
  <c r="D193" i="12"/>
  <c r="D194" i="12"/>
  <c r="G194" i="12" s="1"/>
  <c r="D195" i="12"/>
  <c r="G195" i="12" s="1"/>
  <c r="D196" i="12"/>
  <c r="D197" i="12"/>
  <c r="G197" i="12" s="1"/>
  <c r="D198" i="12"/>
  <c r="D199" i="12"/>
  <c r="G199" i="12" s="1"/>
  <c r="D200" i="12"/>
  <c r="G200" i="12" s="1"/>
  <c r="D201" i="12"/>
  <c r="D202" i="12"/>
  <c r="G202" i="12" s="1"/>
  <c r="D203" i="12"/>
  <c r="G203" i="12" s="1"/>
  <c r="D204" i="12"/>
  <c r="D205" i="12"/>
  <c r="G205" i="12" s="1"/>
  <c r="D206" i="12"/>
  <c r="D207" i="12"/>
  <c r="G207" i="12" s="1"/>
  <c r="D208" i="12"/>
  <c r="G208" i="12" s="1"/>
  <c r="D209" i="12"/>
  <c r="D210" i="12"/>
  <c r="G210" i="12" s="1"/>
  <c r="D211" i="12"/>
  <c r="G211" i="12" s="1"/>
  <c r="D212" i="12"/>
  <c r="D213" i="12"/>
  <c r="G213" i="12" s="1"/>
  <c r="D214" i="12"/>
  <c r="D215" i="12"/>
  <c r="G215" i="12" s="1"/>
  <c r="D216" i="12"/>
  <c r="G216" i="12" s="1"/>
  <c r="D217" i="12"/>
  <c r="D218" i="12"/>
  <c r="G218" i="12" s="1"/>
  <c r="D219" i="12"/>
  <c r="D220" i="12"/>
  <c r="D221" i="12"/>
  <c r="G221" i="12" s="1"/>
  <c r="D222" i="12"/>
  <c r="D223" i="12"/>
  <c r="G223" i="12" s="1"/>
  <c r="D224" i="12"/>
  <c r="G224" i="12" s="1"/>
  <c r="D225" i="12"/>
  <c r="D226" i="12"/>
  <c r="G226" i="12" s="1"/>
  <c r="D227" i="12"/>
  <c r="G227" i="12" s="1"/>
  <c r="D228" i="12"/>
  <c r="D229" i="12"/>
  <c r="G229" i="12" s="1"/>
  <c r="D230" i="12"/>
  <c r="D231" i="12"/>
  <c r="G231" i="12" s="1"/>
  <c r="D232" i="12"/>
  <c r="G232" i="12" s="1"/>
  <c r="D233" i="12"/>
  <c r="D234" i="12"/>
  <c r="G234" i="12" s="1"/>
  <c r="D235" i="12"/>
  <c r="G235" i="12" s="1"/>
  <c r="D236" i="12"/>
  <c r="D237" i="12"/>
  <c r="G237" i="12" s="1"/>
  <c r="D238" i="12"/>
  <c r="D239" i="12"/>
  <c r="G239" i="12" s="1"/>
  <c r="D240" i="12"/>
  <c r="G240" i="12" s="1"/>
  <c r="D241" i="12"/>
  <c r="D242" i="12"/>
  <c r="G242" i="12" s="1"/>
  <c r="D243" i="12"/>
  <c r="G243" i="12" s="1"/>
  <c r="D244" i="12"/>
  <c r="D245" i="12"/>
  <c r="G245" i="12" s="1"/>
  <c r="D246" i="12"/>
  <c r="D247" i="12"/>
  <c r="G247" i="12" s="1"/>
  <c r="D248" i="12"/>
  <c r="G248" i="12" s="1"/>
  <c r="D249" i="12"/>
  <c r="D250" i="12"/>
  <c r="G250" i="12" s="1"/>
  <c r="D251" i="12"/>
  <c r="G251" i="12" s="1"/>
  <c r="D252" i="12"/>
  <c r="D253" i="12"/>
  <c r="G253" i="12" s="1"/>
  <c r="D254" i="12"/>
  <c r="D255" i="12"/>
  <c r="G255" i="12" s="1"/>
  <c r="D256" i="12"/>
  <c r="G256" i="12" s="1"/>
  <c r="D257" i="12"/>
  <c r="D258" i="12"/>
  <c r="G258" i="12" s="1"/>
  <c r="D259" i="12"/>
  <c r="G259" i="12" s="1"/>
  <c r="D260" i="12"/>
  <c r="D261" i="12"/>
  <c r="G261" i="12" s="1"/>
  <c r="D262" i="12"/>
  <c r="D263" i="12"/>
  <c r="G263" i="12" s="1"/>
  <c r="D264" i="12"/>
  <c r="G264" i="12" s="1"/>
  <c r="D265" i="12"/>
  <c r="D266" i="12"/>
  <c r="G266" i="12" s="1"/>
  <c r="D267" i="12"/>
  <c r="G267" i="12" s="1"/>
  <c r="D268" i="12"/>
  <c r="D269" i="12"/>
  <c r="G269" i="12" s="1"/>
  <c r="D270" i="12"/>
  <c r="D271" i="12"/>
  <c r="G271" i="12" s="1"/>
  <c r="D272" i="12"/>
  <c r="G272" i="12" s="1"/>
  <c r="D273" i="12"/>
  <c r="D274" i="12"/>
  <c r="G274" i="12" s="1"/>
  <c r="D275" i="12"/>
  <c r="G275" i="12" s="1"/>
  <c r="D276" i="12"/>
  <c r="D277" i="12"/>
  <c r="G277" i="12" s="1"/>
  <c r="D278" i="12"/>
  <c r="D279" i="12"/>
  <c r="G279" i="12" s="1"/>
  <c r="D280" i="12"/>
  <c r="G280" i="12" s="1"/>
  <c r="D281" i="12"/>
  <c r="D282" i="12"/>
  <c r="G282" i="12" s="1"/>
  <c r="D283" i="12"/>
  <c r="D284" i="12"/>
  <c r="D285" i="12"/>
  <c r="G285" i="12" s="1"/>
  <c r="D286" i="12"/>
  <c r="D287" i="12"/>
  <c r="G287" i="12" s="1"/>
  <c r="D288" i="12"/>
  <c r="G288" i="12" s="1"/>
  <c r="D289" i="12"/>
  <c r="D290" i="12"/>
  <c r="G290" i="12" s="1"/>
  <c r="D291" i="12"/>
  <c r="G291" i="12" s="1"/>
  <c r="D292" i="12"/>
  <c r="D293" i="12"/>
  <c r="G293" i="12" s="1"/>
  <c r="D294" i="12"/>
  <c r="D295" i="12"/>
  <c r="G295" i="12" s="1"/>
  <c r="D296" i="12"/>
  <c r="G296" i="12" s="1"/>
  <c r="D297" i="12"/>
  <c r="D298" i="12"/>
  <c r="G298" i="12" s="1"/>
  <c r="D299" i="12"/>
  <c r="G299" i="12" s="1"/>
  <c r="D300" i="12"/>
  <c r="D301" i="12"/>
  <c r="G301" i="12" s="1"/>
  <c r="D302" i="12"/>
  <c r="D303" i="12"/>
  <c r="G303" i="12" s="1"/>
  <c r="D304" i="12"/>
  <c r="G304" i="12" s="1"/>
  <c r="D305" i="12"/>
  <c r="D306" i="12"/>
  <c r="G306" i="12" s="1"/>
  <c r="D307" i="12"/>
  <c r="G307" i="12" s="1"/>
  <c r="D308" i="12"/>
  <c r="D309" i="12"/>
  <c r="G309" i="12" s="1"/>
  <c r="D310" i="12"/>
  <c r="D311" i="12"/>
  <c r="G311" i="12" s="1"/>
  <c r="D312" i="12"/>
  <c r="G312" i="12" s="1"/>
  <c r="D313" i="12"/>
  <c r="D314" i="12"/>
  <c r="G314" i="12" s="1"/>
  <c r="B44" i="12"/>
  <c r="C44" i="12" s="1"/>
  <c r="B45" i="12"/>
  <c r="C45" i="12" s="1"/>
  <c r="B46" i="12"/>
  <c r="C46" i="12" s="1"/>
  <c r="B47" i="12"/>
  <c r="C47" i="12" s="1"/>
  <c r="B48" i="12"/>
  <c r="C48" i="12" s="1"/>
  <c r="B49" i="12"/>
  <c r="C49" i="12" s="1"/>
  <c r="B50" i="12"/>
  <c r="C50" i="12" s="1"/>
  <c r="B51" i="12"/>
  <c r="C51" i="12" s="1"/>
  <c r="B52" i="12"/>
  <c r="C52" i="12" s="1"/>
  <c r="B53" i="12"/>
  <c r="C53" i="12" s="1"/>
  <c r="B54" i="12"/>
  <c r="C54" i="12" s="1"/>
  <c r="B55" i="12"/>
  <c r="C55" i="12" s="1"/>
  <c r="B56" i="12"/>
  <c r="C56" i="12" s="1"/>
  <c r="B57" i="12"/>
  <c r="C57" i="12" s="1"/>
  <c r="B58" i="12"/>
  <c r="C58" i="12" s="1"/>
  <c r="B59" i="12"/>
  <c r="C59" i="12" s="1"/>
  <c r="B60" i="12"/>
  <c r="C60" i="12" s="1"/>
  <c r="B61" i="12"/>
  <c r="C61" i="12" s="1"/>
  <c r="B62" i="12"/>
  <c r="C62" i="12" s="1"/>
  <c r="B63" i="12"/>
  <c r="C63" i="12" s="1"/>
  <c r="B64" i="12"/>
  <c r="C64" i="12" s="1"/>
  <c r="B65" i="12"/>
  <c r="C65" i="12" s="1"/>
  <c r="B66" i="12"/>
  <c r="C66" i="12" s="1"/>
  <c r="B67" i="12"/>
  <c r="C67" i="12" s="1"/>
  <c r="B68" i="12"/>
  <c r="C68" i="12" s="1"/>
  <c r="B69" i="12"/>
  <c r="C69" i="12" s="1"/>
  <c r="B70" i="12"/>
  <c r="C70" i="12" s="1"/>
  <c r="B71" i="12"/>
  <c r="C71" i="12" s="1"/>
  <c r="B72" i="12"/>
  <c r="C72" i="12" s="1"/>
  <c r="B73" i="12"/>
  <c r="C73" i="12" s="1"/>
  <c r="B74" i="12"/>
  <c r="C74" i="12" s="1"/>
  <c r="B75" i="12"/>
  <c r="C75" i="12" s="1"/>
  <c r="B76" i="12"/>
  <c r="C76" i="12" s="1"/>
  <c r="B77" i="12"/>
  <c r="C77" i="12" s="1"/>
  <c r="B78" i="12"/>
  <c r="C78" i="12" s="1"/>
  <c r="B79" i="12"/>
  <c r="C79" i="12" s="1"/>
  <c r="B80" i="12"/>
  <c r="C80" i="12" s="1"/>
  <c r="B81" i="12"/>
  <c r="C81" i="12" s="1"/>
  <c r="B82" i="12"/>
  <c r="C82" i="12" s="1"/>
  <c r="B83" i="12"/>
  <c r="C83" i="12" s="1"/>
  <c r="B84" i="12"/>
  <c r="C84" i="12" s="1"/>
  <c r="B85" i="12"/>
  <c r="C85" i="12" s="1"/>
  <c r="B86" i="12"/>
  <c r="C86" i="12" s="1"/>
  <c r="B87" i="12"/>
  <c r="C87" i="12" s="1"/>
  <c r="B88" i="12"/>
  <c r="C88" i="12" s="1"/>
  <c r="B89" i="12"/>
  <c r="C89" i="12" s="1"/>
  <c r="B90" i="12"/>
  <c r="C90" i="12" s="1"/>
  <c r="B91" i="12"/>
  <c r="C91" i="12" s="1"/>
  <c r="B92" i="12"/>
  <c r="C92" i="12" s="1"/>
  <c r="B93" i="12"/>
  <c r="C93" i="12" s="1"/>
  <c r="B94" i="12"/>
  <c r="C94" i="12" s="1"/>
  <c r="B95" i="12"/>
  <c r="C95" i="12" s="1"/>
  <c r="B96" i="12"/>
  <c r="C96" i="12" s="1"/>
  <c r="B97" i="12"/>
  <c r="C97" i="12" s="1"/>
  <c r="B98" i="12"/>
  <c r="C98" i="12" s="1"/>
  <c r="B99" i="12"/>
  <c r="C99" i="12" s="1"/>
  <c r="B100" i="12"/>
  <c r="C100" i="12" s="1"/>
  <c r="B101" i="12"/>
  <c r="C101" i="12" s="1"/>
  <c r="B102" i="12"/>
  <c r="C102" i="12" s="1"/>
  <c r="B103" i="12"/>
  <c r="C103" i="12" s="1"/>
  <c r="B104" i="12"/>
  <c r="C104" i="12" s="1"/>
  <c r="B105" i="12"/>
  <c r="C105" i="12" s="1"/>
  <c r="B106" i="12"/>
  <c r="C106" i="12" s="1"/>
  <c r="B107" i="12"/>
  <c r="C107" i="12" s="1"/>
  <c r="B108" i="12"/>
  <c r="C108" i="12" s="1"/>
  <c r="B109" i="12"/>
  <c r="C109" i="12" s="1"/>
  <c r="B110" i="12"/>
  <c r="C110" i="12" s="1"/>
  <c r="B111" i="12"/>
  <c r="C111" i="12" s="1"/>
  <c r="B112" i="12"/>
  <c r="C112" i="12" s="1"/>
  <c r="B113" i="12"/>
  <c r="C113" i="12" s="1"/>
  <c r="B114" i="12"/>
  <c r="C114" i="12" s="1"/>
  <c r="B115" i="12"/>
  <c r="C115" i="12" s="1"/>
  <c r="B116" i="12"/>
  <c r="C116" i="12" s="1"/>
  <c r="B117" i="12"/>
  <c r="C117" i="12" s="1"/>
  <c r="B118" i="12"/>
  <c r="C118" i="12" s="1"/>
  <c r="B119" i="12"/>
  <c r="C119" i="12" s="1"/>
  <c r="D44" i="12"/>
  <c r="G44" i="12" s="1"/>
  <c r="D45" i="12"/>
  <c r="D46" i="12"/>
  <c r="D47" i="12"/>
  <c r="D48" i="12"/>
  <c r="G48" i="12" s="1"/>
  <c r="D49" i="12"/>
  <c r="D50" i="12"/>
  <c r="D51" i="12"/>
  <c r="G51" i="12" s="1"/>
  <c r="D52" i="12"/>
  <c r="G52" i="12" s="1"/>
  <c r="D53" i="12"/>
  <c r="D54" i="12"/>
  <c r="D55" i="12"/>
  <c r="D56" i="12"/>
  <c r="G56" i="12" s="1"/>
  <c r="D57" i="12"/>
  <c r="D58" i="12"/>
  <c r="D59" i="12"/>
  <c r="G59" i="12" s="1"/>
  <c r="D60" i="12"/>
  <c r="G60" i="12" s="1"/>
  <c r="D61" i="12"/>
  <c r="D62" i="12"/>
  <c r="D63" i="12"/>
  <c r="D64" i="12"/>
  <c r="G64" i="12" s="1"/>
  <c r="D65" i="12"/>
  <c r="D66" i="12"/>
  <c r="D67" i="12"/>
  <c r="G67" i="12" s="1"/>
  <c r="D68" i="12"/>
  <c r="G68" i="12" s="1"/>
  <c r="D69" i="12"/>
  <c r="D70" i="12"/>
  <c r="D71" i="12"/>
  <c r="D72" i="12"/>
  <c r="G72" i="12" s="1"/>
  <c r="D73" i="12"/>
  <c r="D74" i="12"/>
  <c r="D75" i="12"/>
  <c r="G75" i="12" s="1"/>
  <c r="D76" i="12"/>
  <c r="G76" i="12" s="1"/>
  <c r="D77" i="12"/>
  <c r="D78" i="12"/>
  <c r="D79" i="12"/>
  <c r="G79" i="12" s="1"/>
  <c r="D80" i="12"/>
  <c r="G80" i="12" s="1"/>
  <c r="D81" i="12"/>
  <c r="G81" i="12" s="1"/>
  <c r="D82" i="12"/>
  <c r="G82" i="12" s="1"/>
  <c r="D83" i="12"/>
  <c r="G83" i="12" s="1"/>
  <c r="D84" i="12"/>
  <c r="G84" i="12" s="1"/>
  <c r="D85" i="12"/>
  <c r="G85" i="12" s="1"/>
  <c r="D86" i="12"/>
  <c r="G86" i="12" s="1"/>
  <c r="D87" i="12"/>
  <c r="G87" i="12" s="1"/>
  <c r="D88" i="12"/>
  <c r="G88" i="12" s="1"/>
  <c r="D89" i="12"/>
  <c r="G89" i="12" s="1"/>
  <c r="D90" i="12"/>
  <c r="G90" i="12" s="1"/>
  <c r="D91" i="12"/>
  <c r="G91" i="12" s="1"/>
  <c r="D92" i="12"/>
  <c r="G92" i="12" s="1"/>
  <c r="D93" i="12"/>
  <c r="G93" i="12" s="1"/>
  <c r="D94" i="12"/>
  <c r="G94" i="12" s="1"/>
  <c r="D95" i="12"/>
  <c r="G95" i="12" s="1"/>
  <c r="D96" i="12"/>
  <c r="G96" i="12" s="1"/>
  <c r="D97" i="12"/>
  <c r="G97" i="12" s="1"/>
  <c r="D98" i="12"/>
  <c r="G98" i="12" s="1"/>
  <c r="D99" i="12"/>
  <c r="G99" i="12" s="1"/>
  <c r="D100" i="12"/>
  <c r="G100" i="12" s="1"/>
  <c r="D101" i="12"/>
  <c r="G101" i="12" s="1"/>
  <c r="D102" i="12"/>
  <c r="G102" i="12" s="1"/>
  <c r="D103" i="12"/>
  <c r="G103" i="12" s="1"/>
  <c r="D104" i="12"/>
  <c r="G104" i="12" s="1"/>
  <c r="D105" i="12"/>
  <c r="G105" i="12" s="1"/>
  <c r="D106" i="12"/>
  <c r="G106" i="12" s="1"/>
  <c r="D107" i="12"/>
  <c r="G107" i="12" s="1"/>
  <c r="D108" i="12"/>
  <c r="G108" i="12" s="1"/>
  <c r="D109" i="12"/>
  <c r="G109" i="12" s="1"/>
  <c r="D110" i="12"/>
  <c r="G110" i="12" s="1"/>
  <c r="D111" i="12"/>
  <c r="G111" i="12" s="1"/>
  <c r="D112" i="12"/>
  <c r="G112" i="12" s="1"/>
  <c r="D113" i="12"/>
  <c r="G113" i="12" s="1"/>
  <c r="D114" i="12"/>
  <c r="G114" i="12" s="1"/>
  <c r="D115" i="12"/>
  <c r="G115" i="12" s="1"/>
  <c r="D116" i="12"/>
  <c r="G116" i="12" s="1"/>
  <c r="D117" i="12"/>
  <c r="G117" i="12" s="1"/>
  <c r="D118" i="12"/>
  <c r="G118" i="12" s="1"/>
  <c r="D119" i="12"/>
  <c r="G119" i="12" s="1"/>
  <c r="B11" i="12"/>
  <c r="C11" i="12" s="1"/>
  <c r="B12" i="12"/>
  <c r="C12" i="12" s="1"/>
  <c r="B13" i="12"/>
  <c r="C13" i="12" s="1"/>
  <c r="B14" i="12"/>
  <c r="C14" i="12" s="1"/>
  <c r="B15" i="12"/>
  <c r="C15" i="12" s="1"/>
  <c r="B16" i="12"/>
  <c r="C16" i="12" s="1"/>
  <c r="B17" i="12"/>
  <c r="C17" i="12" s="1"/>
  <c r="B18" i="12"/>
  <c r="C18" i="12" s="1"/>
  <c r="B19" i="12"/>
  <c r="C19" i="12" s="1"/>
  <c r="B20" i="12"/>
  <c r="C20" i="12" s="1"/>
  <c r="B21" i="12"/>
  <c r="C21" i="12" s="1"/>
  <c r="B22" i="12"/>
  <c r="C22" i="12" s="1"/>
  <c r="B23" i="12"/>
  <c r="C23" i="12" s="1"/>
  <c r="B24" i="12"/>
  <c r="C24" i="12" s="1"/>
  <c r="B25" i="12"/>
  <c r="C25" i="12" s="1"/>
  <c r="B26" i="12"/>
  <c r="C26" i="12" s="1"/>
  <c r="B27" i="12"/>
  <c r="C27" i="12" s="1"/>
  <c r="B28" i="12"/>
  <c r="C28" i="12" s="1"/>
  <c r="B29" i="12"/>
  <c r="C29" i="12" s="1"/>
  <c r="B30" i="12"/>
  <c r="C30" i="12" s="1"/>
  <c r="B31" i="12"/>
  <c r="C31" i="12" s="1"/>
  <c r="B32" i="12"/>
  <c r="C32" i="12" s="1"/>
  <c r="B33" i="12"/>
  <c r="C33" i="12" s="1"/>
  <c r="B34" i="12"/>
  <c r="C34" i="12" s="1"/>
  <c r="B35" i="12"/>
  <c r="C35" i="12" s="1"/>
  <c r="B36" i="12"/>
  <c r="C36" i="12" s="1"/>
  <c r="B37" i="12"/>
  <c r="C37" i="12" s="1"/>
  <c r="B38" i="12"/>
  <c r="C38" i="12" s="1"/>
  <c r="B39" i="12"/>
  <c r="C39" i="12" s="1"/>
  <c r="B40" i="12"/>
  <c r="C40" i="12" s="1"/>
  <c r="B41" i="12"/>
  <c r="C41" i="12" s="1"/>
  <c r="B42" i="12"/>
  <c r="C42" i="12" s="1"/>
  <c r="B43" i="12"/>
  <c r="C43" i="12" s="1"/>
  <c r="D11" i="12"/>
  <c r="G11" i="12" s="1"/>
  <c r="D12" i="12"/>
  <c r="G12" i="12" s="1"/>
  <c r="D13" i="12"/>
  <c r="D14" i="12"/>
  <c r="D15" i="12"/>
  <c r="D16" i="12"/>
  <c r="G16" i="12" s="1"/>
  <c r="D17" i="12"/>
  <c r="G17" i="12" s="1"/>
  <c r="D18" i="12"/>
  <c r="D19" i="12"/>
  <c r="G19" i="12" s="1"/>
  <c r="D20" i="12"/>
  <c r="G20" i="12" s="1"/>
  <c r="D21" i="12"/>
  <c r="D22" i="12"/>
  <c r="D23" i="12"/>
  <c r="D24" i="12"/>
  <c r="G24" i="12" s="1"/>
  <c r="D25" i="12"/>
  <c r="G25" i="12" s="1"/>
  <c r="D26" i="12"/>
  <c r="D27" i="12"/>
  <c r="G27" i="12" s="1"/>
  <c r="D28" i="12"/>
  <c r="G28" i="12" s="1"/>
  <c r="D29" i="12"/>
  <c r="D30" i="12"/>
  <c r="D31" i="12"/>
  <c r="G31" i="12" s="1"/>
  <c r="D32" i="12"/>
  <c r="G32" i="12" s="1"/>
  <c r="D33" i="12"/>
  <c r="G33" i="12" s="1"/>
  <c r="D34" i="12"/>
  <c r="D35" i="12"/>
  <c r="G35" i="12" s="1"/>
  <c r="D36" i="12"/>
  <c r="G36" i="12" s="1"/>
  <c r="D37" i="12"/>
  <c r="D38" i="12"/>
  <c r="D39" i="12"/>
  <c r="D40" i="12"/>
  <c r="G40" i="12" s="1"/>
  <c r="D41" i="12"/>
  <c r="G41" i="12" s="1"/>
  <c r="D42" i="12"/>
  <c r="D43" i="12"/>
  <c r="G43" i="12" s="1"/>
  <c r="H310" i="12" l="1"/>
  <c r="G310" i="12"/>
  <c r="H302" i="12"/>
  <c r="G302" i="12"/>
  <c r="H294" i="12"/>
  <c r="G294" i="12"/>
  <c r="H286" i="12"/>
  <c r="G286" i="12"/>
  <c r="H278" i="12"/>
  <c r="G278" i="12"/>
  <c r="H270" i="12"/>
  <c r="G270" i="12"/>
  <c r="H262" i="12"/>
  <c r="G262" i="12"/>
  <c r="H254" i="12"/>
  <c r="G254" i="12"/>
  <c r="H246" i="12"/>
  <c r="G246" i="12"/>
  <c r="H238" i="12"/>
  <c r="G238" i="12"/>
  <c r="H230" i="12"/>
  <c r="G230" i="12"/>
  <c r="H222" i="12"/>
  <c r="G222" i="12"/>
  <c r="H214" i="12"/>
  <c r="G214" i="12"/>
  <c r="H206" i="12"/>
  <c r="G206" i="12"/>
  <c r="H198" i="12"/>
  <c r="G198" i="12"/>
  <c r="H190" i="12"/>
  <c r="G190" i="12"/>
  <c r="H182" i="12"/>
  <c r="G182" i="12"/>
  <c r="H174" i="12"/>
  <c r="G174" i="12"/>
  <c r="H308" i="12"/>
  <c r="G308" i="12"/>
  <c r="F300" i="12"/>
  <c r="G300" i="12"/>
  <c r="F292" i="12"/>
  <c r="G292" i="12"/>
  <c r="H284" i="12"/>
  <c r="G284" i="12"/>
  <c r="F276" i="12"/>
  <c r="G276" i="12"/>
  <c r="H268" i="12"/>
  <c r="G268" i="12"/>
  <c r="F260" i="12"/>
  <c r="G260" i="12"/>
  <c r="F252" i="12"/>
  <c r="G252" i="12"/>
  <c r="H244" i="12"/>
  <c r="G244" i="12"/>
  <c r="F236" i="12"/>
  <c r="G236" i="12"/>
  <c r="F228" i="12"/>
  <c r="G228" i="12"/>
  <c r="H220" i="12"/>
  <c r="G220" i="12"/>
  <c r="F212" i="12"/>
  <c r="G212" i="12"/>
  <c r="H204" i="12"/>
  <c r="G204" i="12"/>
  <c r="F196" i="12"/>
  <c r="G196" i="12"/>
  <c r="F188" i="12"/>
  <c r="G188" i="12"/>
  <c r="H180" i="12"/>
  <c r="G180" i="12"/>
  <c r="F172" i="12"/>
  <c r="G172" i="12"/>
  <c r="F164" i="12"/>
  <c r="G164" i="12"/>
  <c r="H148" i="12"/>
  <c r="G148" i="12"/>
  <c r="H283" i="12"/>
  <c r="G283" i="12"/>
  <c r="H219" i="12"/>
  <c r="G219" i="12"/>
  <c r="H313" i="12"/>
  <c r="G313" i="12"/>
  <c r="H305" i="12"/>
  <c r="G305" i="12"/>
  <c r="H297" i="12"/>
  <c r="G297" i="12"/>
  <c r="H289" i="12"/>
  <c r="G289" i="12"/>
  <c r="H281" i="12"/>
  <c r="G281" i="12"/>
  <c r="H273" i="12"/>
  <c r="G273" i="12"/>
  <c r="H265" i="12"/>
  <c r="G265" i="12"/>
  <c r="H257" i="12"/>
  <c r="G257" i="12"/>
  <c r="H249" i="12"/>
  <c r="G249" i="12"/>
  <c r="H241" i="12"/>
  <c r="G241" i="12"/>
  <c r="H233" i="12"/>
  <c r="G233" i="12"/>
  <c r="H225" i="12"/>
  <c r="G225" i="12"/>
  <c r="H217" i="12"/>
  <c r="G217" i="12"/>
  <c r="H209" i="12"/>
  <c r="G209" i="12"/>
  <c r="H201" i="12"/>
  <c r="G201" i="12"/>
  <c r="H193" i="12"/>
  <c r="G193" i="12"/>
  <c r="H185" i="12"/>
  <c r="G185" i="12"/>
  <c r="H177" i="12"/>
  <c r="G177" i="12"/>
  <c r="H169" i="12"/>
  <c r="G169" i="12"/>
  <c r="H153" i="12"/>
  <c r="G153" i="12"/>
  <c r="F37" i="12"/>
  <c r="G37" i="12"/>
  <c r="F13" i="12"/>
  <c r="G13" i="12"/>
  <c r="F74" i="12"/>
  <c r="G74" i="12"/>
  <c r="F66" i="12"/>
  <c r="G66" i="12"/>
  <c r="F58" i="12"/>
  <c r="G58" i="12"/>
  <c r="F50" i="12"/>
  <c r="G50" i="12"/>
  <c r="E38" i="12"/>
  <c r="G38" i="12"/>
  <c r="E14" i="12"/>
  <c r="G14" i="12"/>
  <c r="F21" i="12"/>
  <c r="G21" i="12"/>
  <c r="F73" i="12"/>
  <c r="G73" i="12"/>
  <c r="F65" i="12"/>
  <c r="G65" i="12"/>
  <c r="F57" i="12"/>
  <c r="G57" i="12"/>
  <c r="F49" i="12"/>
  <c r="G49" i="12"/>
  <c r="H140" i="12"/>
  <c r="G140" i="12"/>
  <c r="F132" i="12"/>
  <c r="G132" i="12"/>
  <c r="F124" i="12"/>
  <c r="G124" i="12"/>
  <c r="F42" i="12"/>
  <c r="G42" i="12"/>
  <c r="F34" i="12"/>
  <c r="G34" i="12"/>
  <c r="F26" i="12"/>
  <c r="G26" i="12"/>
  <c r="F18" i="12"/>
  <c r="G18" i="12"/>
  <c r="E139" i="12"/>
  <c r="G139" i="12"/>
  <c r="E22" i="12"/>
  <c r="G22" i="12"/>
  <c r="F78" i="12"/>
  <c r="G78" i="12"/>
  <c r="F70" i="12"/>
  <c r="G70" i="12"/>
  <c r="F62" i="12"/>
  <c r="G62" i="12"/>
  <c r="F54" i="12"/>
  <c r="G54" i="12"/>
  <c r="F46" i="12"/>
  <c r="G46" i="12"/>
  <c r="H145" i="12"/>
  <c r="G145" i="12"/>
  <c r="H137" i="12"/>
  <c r="G137" i="12"/>
  <c r="H121" i="12"/>
  <c r="G121" i="12"/>
  <c r="E30" i="12"/>
  <c r="G30" i="12"/>
  <c r="F29" i="12"/>
  <c r="G29" i="12"/>
  <c r="F71" i="12"/>
  <c r="G71" i="12"/>
  <c r="F63" i="12"/>
  <c r="G63" i="12"/>
  <c r="F55" i="12"/>
  <c r="G55" i="12"/>
  <c r="F47" i="12"/>
  <c r="G47" i="12"/>
  <c r="E39" i="12"/>
  <c r="G39" i="12"/>
  <c r="E23" i="12"/>
  <c r="G23" i="12"/>
  <c r="E15" i="12"/>
  <c r="G15" i="12"/>
  <c r="E77" i="12"/>
  <c r="G77" i="12"/>
  <c r="E69" i="12"/>
  <c r="G69" i="12"/>
  <c r="E61" i="12"/>
  <c r="G61" i="12"/>
  <c r="E53" i="12"/>
  <c r="G53" i="12"/>
  <c r="E45" i="12"/>
  <c r="G45" i="12"/>
  <c r="F94" i="12"/>
  <c r="F110" i="12"/>
  <c r="E104" i="12"/>
  <c r="H98" i="12"/>
  <c r="H96" i="12"/>
  <c r="E112" i="12"/>
  <c r="H90" i="12"/>
  <c r="E96" i="12"/>
  <c r="F114" i="12"/>
  <c r="E91" i="12"/>
  <c r="H165" i="12"/>
  <c r="E88" i="12"/>
  <c r="H133" i="12"/>
  <c r="H114" i="12"/>
  <c r="F98" i="12"/>
  <c r="E83" i="12"/>
  <c r="F181" i="12"/>
  <c r="H112" i="12"/>
  <c r="E205" i="12"/>
  <c r="H106" i="12"/>
  <c r="E119" i="12"/>
  <c r="E144" i="12"/>
  <c r="F266" i="12"/>
  <c r="F210" i="12"/>
  <c r="F130" i="12"/>
  <c r="E272" i="12"/>
  <c r="H111" i="12"/>
  <c r="H95" i="12"/>
  <c r="F111" i="12"/>
  <c r="F95" i="12"/>
  <c r="E115" i="12"/>
  <c r="E95" i="12"/>
  <c r="H162" i="12"/>
  <c r="H130" i="12"/>
  <c r="F261" i="12"/>
  <c r="F205" i="12"/>
  <c r="F180" i="12"/>
  <c r="F128" i="12"/>
  <c r="E234" i="12"/>
  <c r="E197" i="12"/>
  <c r="E141" i="12"/>
  <c r="H154" i="12"/>
  <c r="H127" i="12"/>
  <c r="F258" i="12"/>
  <c r="F202" i="12"/>
  <c r="F168" i="12"/>
  <c r="F125" i="12"/>
  <c r="E226" i="12"/>
  <c r="E170" i="12"/>
  <c r="E136" i="12"/>
  <c r="H89" i="12"/>
  <c r="F91" i="12"/>
  <c r="E111" i="12"/>
  <c r="H152" i="12"/>
  <c r="H122" i="12"/>
  <c r="F256" i="12"/>
  <c r="F197" i="12"/>
  <c r="F154" i="12"/>
  <c r="F120" i="12"/>
  <c r="E221" i="12"/>
  <c r="E162" i="12"/>
  <c r="E133" i="12"/>
  <c r="H105" i="12"/>
  <c r="F107" i="12"/>
  <c r="H104" i="12"/>
  <c r="H88" i="12"/>
  <c r="F106" i="12"/>
  <c r="F90" i="12"/>
  <c r="E107" i="12"/>
  <c r="E87" i="12"/>
  <c r="H120" i="12"/>
  <c r="F245" i="12"/>
  <c r="F194" i="12"/>
  <c r="F146" i="12"/>
  <c r="E298" i="12"/>
  <c r="E218" i="12"/>
  <c r="E157" i="12"/>
  <c r="E128" i="12"/>
  <c r="H103" i="12"/>
  <c r="H87" i="12"/>
  <c r="F103" i="12"/>
  <c r="F87" i="12"/>
  <c r="H144" i="12"/>
  <c r="F282" i="12"/>
  <c r="F244" i="12"/>
  <c r="F192" i="12"/>
  <c r="F141" i="12"/>
  <c r="E290" i="12"/>
  <c r="E213" i="12"/>
  <c r="E154" i="12"/>
  <c r="E127" i="12"/>
  <c r="F102" i="12"/>
  <c r="E103" i="12"/>
  <c r="H141" i="12"/>
  <c r="F274" i="12"/>
  <c r="F232" i="12"/>
  <c r="F189" i="12"/>
  <c r="F138" i="12"/>
  <c r="E285" i="12"/>
  <c r="E210" i="12"/>
  <c r="E149" i="12"/>
  <c r="E120" i="12"/>
  <c r="F119" i="12"/>
  <c r="F86" i="12"/>
  <c r="H113" i="12"/>
  <c r="H97" i="12"/>
  <c r="F118" i="12"/>
  <c r="F99" i="12"/>
  <c r="F83" i="12"/>
  <c r="E99" i="12"/>
  <c r="F269" i="12"/>
  <c r="F218" i="12"/>
  <c r="F184" i="12"/>
  <c r="F133" i="12"/>
  <c r="E274" i="12"/>
  <c r="E208" i="12"/>
  <c r="E146" i="12"/>
  <c r="H109" i="12"/>
  <c r="H93" i="12"/>
  <c r="H85" i="12"/>
  <c r="F299" i="12"/>
  <c r="F275" i="12"/>
  <c r="F259" i="12"/>
  <c r="F243" i="12"/>
  <c r="F227" i="12"/>
  <c r="F203" i="12"/>
  <c r="F187" i="12"/>
  <c r="F171" i="12"/>
  <c r="H155" i="12"/>
  <c r="F155" i="12"/>
  <c r="H116" i="12"/>
  <c r="H108" i="12"/>
  <c r="H100" i="12"/>
  <c r="H92" i="12"/>
  <c r="H84" i="12"/>
  <c r="F113" i="12"/>
  <c r="F105" i="12"/>
  <c r="F97" i="12"/>
  <c r="F89" i="12"/>
  <c r="E118" i="12"/>
  <c r="E110" i="12"/>
  <c r="E102" i="12"/>
  <c r="E94" i="12"/>
  <c r="E86" i="12"/>
  <c r="H309" i="12"/>
  <c r="H301" i="12"/>
  <c r="H293" i="12"/>
  <c r="H285" i="12"/>
  <c r="H277" i="12"/>
  <c r="H269" i="12"/>
  <c r="H261" i="12"/>
  <c r="H253" i="12"/>
  <c r="H245" i="12"/>
  <c r="H237" i="12"/>
  <c r="H229" i="12"/>
  <c r="H221" i="12"/>
  <c r="H213" i="12"/>
  <c r="H205" i="12"/>
  <c r="H197" i="12"/>
  <c r="H189" i="12"/>
  <c r="H181" i="12"/>
  <c r="H173" i="12"/>
  <c r="H164" i="12"/>
  <c r="H143" i="12"/>
  <c r="H132" i="12"/>
  <c r="F306" i="12"/>
  <c r="F293" i="12"/>
  <c r="F280" i="12"/>
  <c r="F268" i="12"/>
  <c r="F255" i="12"/>
  <c r="F242" i="12"/>
  <c r="F229" i="12"/>
  <c r="F216" i="12"/>
  <c r="F204" i="12"/>
  <c r="F191" i="12"/>
  <c r="F178" i="12"/>
  <c r="F165" i="12"/>
  <c r="F152" i="12"/>
  <c r="F140" i="12"/>
  <c r="F127" i="12"/>
  <c r="E309" i="12"/>
  <c r="E296" i="12"/>
  <c r="E283" i="12"/>
  <c r="E271" i="12"/>
  <c r="E258" i="12"/>
  <c r="E245" i="12"/>
  <c r="E232" i="12"/>
  <c r="E219" i="12"/>
  <c r="E207" i="12"/>
  <c r="E194" i="12"/>
  <c r="E181" i="12"/>
  <c r="E168" i="12"/>
  <c r="E155" i="12"/>
  <c r="E143" i="12"/>
  <c r="E130" i="12"/>
  <c r="H117" i="12"/>
  <c r="F291" i="12"/>
  <c r="F267" i="12"/>
  <c r="F251" i="12"/>
  <c r="F235" i="12"/>
  <c r="F211" i="12"/>
  <c r="F195" i="12"/>
  <c r="F179" i="12"/>
  <c r="H163" i="12"/>
  <c r="F163" i="12"/>
  <c r="H147" i="12"/>
  <c r="F147" i="12"/>
  <c r="H131" i="12"/>
  <c r="F131" i="12"/>
  <c r="H123" i="12"/>
  <c r="F123" i="12"/>
  <c r="H115" i="12"/>
  <c r="H107" i="12"/>
  <c r="H99" i="12"/>
  <c r="H91" i="12"/>
  <c r="H83" i="12"/>
  <c r="F112" i="12"/>
  <c r="F104" i="12"/>
  <c r="F96" i="12"/>
  <c r="F88" i="12"/>
  <c r="E117" i="12"/>
  <c r="E109" i="12"/>
  <c r="E101" i="12"/>
  <c r="E93" i="12"/>
  <c r="E85" i="12"/>
  <c r="E313" i="12"/>
  <c r="F313" i="12"/>
  <c r="E305" i="12"/>
  <c r="F305" i="12"/>
  <c r="E297" i="12"/>
  <c r="F297" i="12"/>
  <c r="E289" i="12"/>
  <c r="F289" i="12"/>
  <c r="E281" i="12"/>
  <c r="F281" i="12"/>
  <c r="E273" i="12"/>
  <c r="F273" i="12"/>
  <c r="E265" i="12"/>
  <c r="F265" i="12"/>
  <c r="E257" i="12"/>
  <c r="F257" i="12"/>
  <c r="E249" i="12"/>
  <c r="F249" i="12"/>
  <c r="E241" i="12"/>
  <c r="F241" i="12"/>
  <c r="E233" i="12"/>
  <c r="F233" i="12"/>
  <c r="E225" i="12"/>
  <c r="F225" i="12"/>
  <c r="E217" i="12"/>
  <c r="F217" i="12"/>
  <c r="E209" i="12"/>
  <c r="F209" i="12"/>
  <c r="E201" i="12"/>
  <c r="F201" i="12"/>
  <c r="E193" i="12"/>
  <c r="F193" i="12"/>
  <c r="E185" i="12"/>
  <c r="F185" i="12"/>
  <c r="E177" i="12"/>
  <c r="F177" i="12"/>
  <c r="E169" i="12"/>
  <c r="F169" i="12"/>
  <c r="E161" i="12"/>
  <c r="F161" i="12"/>
  <c r="E153" i="12"/>
  <c r="F153" i="12"/>
  <c r="E145" i="12"/>
  <c r="F145" i="12"/>
  <c r="E137" i="12"/>
  <c r="F137" i="12"/>
  <c r="E129" i="12"/>
  <c r="F129" i="12"/>
  <c r="E121" i="12"/>
  <c r="F121" i="12"/>
  <c r="H300" i="12"/>
  <c r="H292" i="12"/>
  <c r="H276" i="12"/>
  <c r="H260" i="12"/>
  <c r="H252" i="12"/>
  <c r="H236" i="12"/>
  <c r="H228" i="12"/>
  <c r="H212" i="12"/>
  <c r="H196" i="12"/>
  <c r="H188" i="12"/>
  <c r="H172" i="12"/>
  <c r="F304" i="12"/>
  <c r="F279" i="12"/>
  <c r="F253" i="12"/>
  <c r="F240" i="12"/>
  <c r="F215" i="12"/>
  <c r="F176" i="12"/>
  <c r="F151" i="12"/>
  <c r="E307" i="12"/>
  <c r="E295" i="12"/>
  <c r="E282" i="12"/>
  <c r="E269" i="12"/>
  <c r="E256" i="12"/>
  <c r="E243" i="12"/>
  <c r="E231" i="12"/>
  <c r="E192" i="12"/>
  <c r="E179" i="12"/>
  <c r="E167" i="12"/>
  <c r="E116" i="12"/>
  <c r="E108" i="12"/>
  <c r="E100" i="12"/>
  <c r="E92" i="12"/>
  <c r="E84" i="12"/>
  <c r="H307" i="12"/>
  <c r="H299" i="12"/>
  <c r="H291" i="12"/>
  <c r="H275" i="12"/>
  <c r="H267" i="12"/>
  <c r="H259" i="12"/>
  <c r="H251" i="12"/>
  <c r="H243" i="12"/>
  <c r="H235" i="12"/>
  <c r="H227" i="12"/>
  <c r="H211" i="12"/>
  <c r="H203" i="12"/>
  <c r="H195" i="12"/>
  <c r="H187" i="12"/>
  <c r="H179" i="12"/>
  <c r="H171" i="12"/>
  <c r="H161" i="12"/>
  <c r="H151" i="12"/>
  <c r="H129" i="12"/>
  <c r="F314" i="12"/>
  <c r="F303" i="12"/>
  <c r="F290" i="12"/>
  <c r="F277" i="12"/>
  <c r="F264" i="12"/>
  <c r="F239" i="12"/>
  <c r="F226" i="12"/>
  <c r="F213" i="12"/>
  <c r="F200" i="12"/>
  <c r="F175" i="12"/>
  <c r="F162" i="12"/>
  <c r="F149" i="12"/>
  <c r="F136" i="12"/>
  <c r="E306" i="12"/>
  <c r="E293" i="12"/>
  <c r="E280" i="12"/>
  <c r="E267" i="12"/>
  <c r="E255" i="12"/>
  <c r="E242" i="12"/>
  <c r="E229" i="12"/>
  <c r="E216" i="12"/>
  <c r="E203" i="12"/>
  <c r="E191" i="12"/>
  <c r="E178" i="12"/>
  <c r="E165" i="12"/>
  <c r="E152" i="12"/>
  <c r="H314" i="12"/>
  <c r="H306" i="12"/>
  <c r="H298" i="12"/>
  <c r="H290" i="12"/>
  <c r="H282" i="12"/>
  <c r="H274" i="12"/>
  <c r="H266" i="12"/>
  <c r="H258" i="12"/>
  <c r="H250" i="12"/>
  <c r="H242" i="12"/>
  <c r="H234" i="12"/>
  <c r="H226" i="12"/>
  <c r="H218" i="12"/>
  <c r="H210" i="12"/>
  <c r="H202" i="12"/>
  <c r="H194" i="12"/>
  <c r="H186" i="12"/>
  <c r="H178" i="12"/>
  <c r="H170" i="12"/>
  <c r="H160" i="12"/>
  <c r="H149" i="12"/>
  <c r="H138" i="12"/>
  <c r="H128" i="12"/>
  <c r="F312" i="12"/>
  <c r="F301" i="12"/>
  <c r="F288" i="12"/>
  <c r="F263" i="12"/>
  <c r="F250" i="12"/>
  <c r="F237" i="12"/>
  <c r="F224" i="12"/>
  <c r="F199" i="12"/>
  <c r="F186" i="12"/>
  <c r="F173" i="12"/>
  <c r="F160" i="12"/>
  <c r="F148" i="12"/>
  <c r="F135" i="12"/>
  <c r="F122" i="12"/>
  <c r="E304" i="12"/>
  <c r="E291" i="12"/>
  <c r="E279" i="12"/>
  <c r="E266" i="12"/>
  <c r="E253" i="12"/>
  <c r="E240" i="12"/>
  <c r="E227" i="12"/>
  <c r="E215" i="12"/>
  <c r="E202" i="12"/>
  <c r="E189" i="12"/>
  <c r="E176" i="12"/>
  <c r="E163" i="12"/>
  <c r="E151" i="12"/>
  <c r="E138" i="12"/>
  <c r="E125" i="12"/>
  <c r="F117" i="12"/>
  <c r="F109" i="12"/>
  <c r="F101" i="12"/>
  <c r="F93" i="12"/>
  <c r="F85" i="12"/>
  <c r="E114" i="12"/>
  <c r="E106" i="12"/>
  <c r="E98" i="12"/>
  <c r="E90" i="12"/>
  <c r="F310" i="12"/>
  <c r="E310" i="12"/>
  <c r="F302" i="12"/>
  <c r="E302" i="12"/>
  <c r="F294" i="12"/>
  <c r="E294" i="12"/>
  <c r="F286" i="12"/>
  <c r="E286" i="12"/>
  <c r="F278" i="12"/>
  <c r="E278" i="12"/>
  <c r="F270" i="12"/>
  <c r="E270" i="12"/>
  <c r="F262" i="12"/>
  <c r="E262" i="12"/>
  <c r="F254" i="12"/>
  <c r="E254" i="12"/>
  <c r="F246" i="12"/>
  <c r="E246" i="12"/>
  <c r="F238" i="12"/>
  <c r="E238" i="12"/>
  <c r="F230" i="12"/>
  <c r="E230" i="12"/>
  <c r="F222" i="12"/>
  <c r="E222" i="12"/>
  <c r="F214" i="12"/>
  <c r="E214" i="12"/>
  <c r="F206" i="12"/>
  <c r="E206" i="12"/>
  <c r="F198" i="12"/>
  <c r="E198" i="12"/>
  <c r="F190" i="12"/>
  <c r="E190" i="12"/>
  <c r="F182" i="12"/>
  <c r="E182" i="12"/>
  <c r="F174" i="12"/>
  <c r="E174" i="12"/>
  <c r="F166" i="12"/>
  <c r="H166" i="12"/>
  <c r="E166" i="12"/>
  <c r="F158" i="12"/>
  <c r="H158" i="12"/>
  <c r="E158" i="12"/>
  <c r="F150" i="12"/>
  <c r="H150" i="12"/>
  <c r="E150" i="12"/>
  <c r="F142" i="12"/>
  <c r="H142" i="12"/>
  <c r="E142" i="12"/>
  <c r="F134" i="12"/>
  <c r="H134" i="12"/>
  <c r="E134" i="12"/>
  <c r="F126" i="12"/>
  <c r="H126" i="12"/>
  <c r="E126" i="12"/>
  <c r="H159" i="12"/>
  <c r="F311" i="12"/>
  <c r="F287" i="12"/>
  <c r="F248" i="12"/>
  <c r="F223" i="12"/>
  <c r="F159" i="12"/>
  <c r="E303" i="12"/>
  <c r="E277" i="12"/>
  <c r="E264" i="12"/>
  <c r="E251" i="12"/>
  <c r="E239" i="12"/>
  <c r="E200" i="12"/>
  <c r="E187" i="12"/>
  <c r="E175" i="12"/>
  <c r="E123" i="12"/>
  <c r="H119" i="12"/>
  <c r="F116" i="12"/>
  <c r="F108" i="12"/>
  <c r="F100" i="12"/>
  <c r="F92" i="12"/>
  <c r="F84" i="12"/>
  <c r="E113" i="12"/>
  <c r="E105" i="12"/>
  <c r="E97" i="12"/>
  <c r="E89" i="12"/>
  <c r="H312" i="12"/>
  <c r="H304" i="12"/>
  <c r="H296" i="12"/>
  <c r="H288" i="12"/>
  <c r="H280" i="12"/>
  <c r="H272" i="12"/>
  <c r="H264" i="12"/>
  <c r="H256" i="12"/>
  <c r="H248" i="12"/>
  <c r="H240" i="12"/>
  <c r="H232" i="12"/>
  <c r="H224" i="12"/>
  <c r="H216" i="12"/>
  <c r="H208" i="12"/>
  <c r="H200" i="12"/>
  <c r="H192" i="12"/>
  <c r="H184" i="12"/>
  <c r="H176" i="12"/>
  <c r="H168" i="12"/>
  <c r="H157" i="12"/>
  <c r="H146" i="12"/>
  <c r="H136" i="12"/>
  <c r="H125" i="12"/>
  <c r="F309" i="12"/>
  <c r="F298" i="12"/>
  <c r="F285" i="12"/>
  <c r="F272" i="12"/>
  <c r="F247" i="12"/>
  <c r="F234" i="12"/>
  <c r="F221" i="12"/>
  <c r="F208" i="12"/>
  <c r="F183" i="12"/>
  <c r="F170" i="12"/>
  <c r="F157" i="12"/>
  <c r="F144" i="12"/>
  <c r="E314" i="12"/>
  <c r="E301" i="12"/>
  <c r="E288" i="12"/>
  <c r="E275" i="12"/>
  <c r="E263" i="12"/>
  <c r="E250" i="12"/>
  <c r="E237" i="12"/>
  <c r="E224" i="12"/>
  <c r="E211" i="12"/>
  <c r="E199" i="12"/>
  <c r="E186" i="12"/>
  <c r="E173" i="12"/>
  <c r="E160" i="12"/>
  <c r="E147" i="12"/>
  <c r="E135" i="12"/>
  <c r="E122" i="12"/>
  <c r="E17" i="12"/>
  <c r="H118" i="12"/>
  <c r="H110" i="12"/>
  <c r="H102" i="12"/>
  <c r="H94" i="12"/>
  <c r="H86" i="12"/>
  <c r="F115" i="12"/>
  <c r="E308" i="12"/>
  <c r="E300" i="12"/>
  <c r="E292" i="12"/>
  <c r="E284" i="12"/>
  <c r="E276" i="12"/>
  <c r="E268" i="12"/>
  <c r="E260" i="12"/>
  <c r="E252" i="12"/>
  <c r="E244" i="12"/>
  <c r="E236" i="12"/>
  <c r="E228" i="12"/>
  <c r="E220" i="12"/>
  <c r="E212" i="12"/>
  <c r="E204" i="12"/>
  <c r="E196" i="12"/>
  <c r="E188" i="12"/>
  <c r="E180" i="12"/>
  <c r="E172" i="12"/>
  <c r="E164" i="12"/>
  <c r="E156" i="12"/>
  <c r="E148" i="12"/>
  <c r="E140" i="12"/>
  <c r="E132" i="12"/>
  <c r="E124" i="12"/>
  <c r="H311" i="12"/>
  <c r="H303" i="12"/>
  <c r="H295" i="12"/>
  <c r="H287" i="12"/>
  <c r="H279" i="12"/>
  <c r="H271" i="12"/>
  <c r="H263" i="12"/>
  <c r="H255" i="12"/>
  <c r="H247" i="12"/>
  <c r="H239" i="12"/>
  <c r="H231" i="12"/>
  <c r="H223" i="12"/>
  <c r="H215" i="12"/>
  <c r="H207" i="12"/>
  <c r="H199" i="12"/>
  <c r="H191" i="12"/>
  <c r="H183" i="12"/>
  <c r="H175" i="12"/>
  <c r="H167" i="12"/>
  <c r="H156" i="12"/>
  <c r="H135" i="12"/>
  <c r="H124" i="12"/>
  <c r="F308" i="12"/>
  <c r="F296" i="12"/>
  <c r="F284" i="12"/>
  <c r="F271" i="12"/>
  <c r="F220" i="12"/>
  <c r="F207" i="12"/>
  <c r="F156" i="12"/>
  <c r="F143" i="12"/>
  <c r="E312" i="12"/>
  <c r="E299" i="12"/>
  <c r="E287" i="12"/>
  <c r="E261" i="12"/>
  <c r="E248" i="12"/>
  <c r="E235" i="12"/>
  <c r="E223" i="12"/>
  <c r="E184" i="12"/>
  <c r="E171" i="12"/>
  <c r="E159" i="12"/>
  <c r="H101" i="12"/>
  <c r="F283" i="12"/>
  <c r="F219" i="12"/>
  <c r="H139" i="12"/>
  <c r="F139" i="12"/>
  <c r="F307" i="12"/>
  <c r="F295" i="12"/>
  <c r="F231" i="12"/>
  <c r="F167" i="12"/>
  <c r="E311" i="12"/>
  <c r="E259" i="12"/>
  <c r="E247" i="12"/>
  <c r="E195" i="12"/>
  <c r="E183" i="12"/>
  <c r="E131" i="12"/>
  <c r="E26" i="12"/>
  <c r="E25" i="12"/>
  <c r="F33" i="12"/>
  <c r="F25" i="12"/>
  <c r="F23" i="12"/>
  <c r="H24" i="12"/>
  <c r="H39" i="12"/>
  <c r="F16" i="12"/>
  <c r="E78" i="12"/>
  <c r="H27" i="12"/>
  <c r="F15" i="12"/>
  <c r="E62" i="12"/>
  <c r="E49" i="12"/>
  <c r="H23" i="12"/>
  <c r="E46" i="12"/>
  <c r="F39" i="12"/>
  <c r="H49" i="12"/>
  <c r="H43" i="12"/>
  <c r="F32" i="12"/>
  <c r="E42" i="12"/>
  <c r="E24" i="12"/>
  <c r="H82" i="12"/>
  <c r="H70" i="12"/>
  <c r="H54" i="12"/>
  <c r="E73" i="12"/>
  <c r="E57" i="12"/>
  <c r="H40" i="12"/>
  <c r="H19" i="12"/>
  <c r="F31" i="12"/>
  <c r="E41" i="12"/>
  <c r="E18" i="12"/>
  <c r="H81" i="12"/>
  <c r="H65" i="12"/>
  <c r="E72" i="12"/>
  <c r="E56" i="12"/>
  <c r="H80" i="12"/>
  <c r="H64" i="12"/>
  <c r="H48" i="12"/>
  <c r="F82" i="12"/>
  <c r="E71" i="12"/>
  <c r="E55" i="12"/>
  <c r="H16" i="12"/>
  <c r="E40" i="12"/>
  <c r="H35" i="12"/>
  <c r="H15" i="12"/>
  <c r="F24" i="12"/>
  <c r="E34" i="12"/>
  <c r="E16" i="12"/>
  <c r="H79" i="12"/>
  <c r="H63" i="12"/>
  <c r="H47" i="12"/>
  <c r="F81" i="12"/>
  <c r="E82" i="12"/>
  <c r="E70" i="12"/>
  <c r="E54" i="12"/>
  <c r="H78" i="12"/>
  <c r="H62" i="12"/>
  <c r="H46" i="12"/>
  <c r="F80" i="12"/>
  <c r="E81" i="12"/>
  <c r="E65" i="12"/>
  <c r="H32" i="12"/>
  <c r="F41" i="12"/>
  <c r="E33" i="12"/>
  <c r="H31" i="12"/>
  <c r="F40" i="12"/>
  <c r="F17" i="12"/>
  <c r="E32" i="12"/>
  <c r="H73" i="12"/>
  <c r="H57" i="12"/>
  <c r="F79" i="12"/>
  <c r="E80" i="12"/>
  <c r="E64" i="12"/>
  <c r="E48" i="12"/>
  <c r="H72" i="12"/>
  <c r="H56" i="12"/>
  <c r="E79" i="12"/>
  <c r="E63" i="12"/>
  <c r="E47" i="12"/>
  <c r="H71" i="12"/>
  <c r="H55" i="12"/>
  <c r="H11" i="12"/>
  <c r="F36" i="12"/>
  <c r="F28" i="12"/>
  <c r="F12" i="12"/>
  <c r="E37" i="12"/>
  <c r="E21" i="12"/>
  <c r="E13" i="12"/>
  <c r="H68" i="12"/>
  <c r="H44" i="12"/>
  <c r="F72" i="12"/>
  <c r="F56" i="12"/>
  <c r="E76" i="12"/>
  <c r="E52" i="12"/>
  <c r="H42" i="12"/>
  <c r="H26" i="12"/>
  <c r="F43" i="12"/>
  <c r="F35" i="12"/>
  <c r="F27" i="12"/>
  <c r="F11" i="12"/>
  <c r="E36" i="12"/>
  <c r="E28" i="12"/>
  <c r="E20" i="12"/>
  <c r="E12" i="12"/>
  <c r="H75" i="12"/>
  <c r="H67" i="12"/>
  <c r="H59" i="12"/>
  <c r="H51" i="12"/>
  <c r="E75" i="12"/>
  <c r="E67" i="12"/>
  <c r="E59" i="12"/>
  <c r="E51" i="12"/>
  <c r="H30" i="12"/>
  <c r="F59" i="12"/>
  <c r="H37" i="12"/>
  <c r="H13" i="12"/>
  <c r="F22" i="12"/>
  <c r="E31" i="12"/>
  <c r="F20" i="12"/>
  <c r="E29" i="12"/>
  <c r="H76" i="12"/>
  <c r="H60" i="12"/>
  <c r="H52" i="12"/>
  <c r="F64" i="12"/>
  <c r="F48" i="12"/>
  <c r="E68" i="12"/>
  <c r="E60" i="12"/>
  <c r="E44" i="12"/>
  <c r="H34" i="12"/>
  <c r="H18" i="12"/>
  <c r="F19" i="12"/>
  <c r="H41" i="12"/>
  <c r="H33" i="12"/>
  <c r="H25" i="12"/>
  <c r="H17" i="12"/>
  <c r="E43" i="12"/>
  <c r="E35" i="12"/>
  <c r="E27" i="12"/>
  <c r="E19" i="12"/>
  <c r="E11" i="12"/>
  <c r="H74" i="12"/>
  <c r="H66" i="12"/>
  <c r="H58" i="12"/>
  <c r="H50" i="12"/>
  <c r="E74" i="12"/>
  <c r="E66" i="12"/>
  <c r="E58" i="12"/>
  <c r="E50" i="12"/>
  <c r="F77" i="12"/>
  <c r="F69" i="12"/>
  <c r="F61" i="12"/>
  <c r="F53" i="12"/>
  <c r="F45" i="12"/>
  <c r="F76" i="12"/>
  <c r="F68" i="12"/>
  <c r="F60" i="12"/>
  <c r="F52" i="12"/>
  <c r="F44" i="12"/>
  <c r="F75" i="12"/>
  <c r="H22" i="12"/>
  <c r="F51" i="12"/>
  <c r="H21" i="12"/>
  <c r="F38" i="12"/>
  <c r="H38" i="12"/>
  <c r="H14" i="12"/>
  <c r="F67" i="12"/>
  <c r="H29" i="12"/>
  <c r="F30" i="12"/>
  <c r="F14" i="12"/>
  <c r="H36" i="12"/>
  <c r="H28" i="12"/>
  <c r="H20" i="12"/>
  <c r="H12" i="12"/>
  <c r="H77" i="12"/>
  <c r="H69" i="12"/>
  <c r="H61" i="12"/>
  <c r="H53" i="12"/>
  <c r="H45" i="12"/>
  <c r="B3" i="12"/>
  <c r="C3" i="12" s="1"/>
  <c r="B4" i="12"/>
  <c r="C4" i="12" s="1"/>
  <c r="B5" i="12"/>
  <c r="C5" i="12" s="1"/>
  <c r="B6" i="12"/>
  <c r="C6" i="12" s="1"/>
  <c r="B7" i="12"/>
  <c r="C7" i="12" s="1"/>
  <c r="B8" i="12"/>
  <c r="C8" i="12" s="1"/>
  <c r="B9" i="12"/>
  <c r="C9" i="12" s="1"/>
  <c r="B10" i="12"/>
  <c r="C10" i="12" s="1"/>
  <c r="B2" i="12"/>
  <c r="C2" i="12" s="1"/>
  <c r="B4" i="21" l="1"/>
  <c r="B5" i="21"/>
  <c r="B6" i="21"/>
  <c r="B7" i="21"/>
  <c r="B8" i="21"/>
  <c r="B9" i="21"/>
  <c r="B10" i="21"/>
  <c r="B11" i="21"/>
  <c r="B12" i="21"/>
  <c r="B13" i="21"/>
  <c r="B14" i="21"/>
  <c r="B15" i="21"/>
  <c r="B16" i="21"/>
  <c r="B17" i="21"/>
  <c r="B18" i="21"/>
  <c r="B19" i="21"/>
  <c r="B20" i="21"/>
  <c r="B21" i="21"/>
  <c r="B22" i="21"/>
  <c r="B23" i="21"/>
  <c r="B24" i="21"/>
  <c r="B25" i="21"/>
  <c r="B26" i="21"/>
  <c r="B27" i="21"/>
  <c r="B28" i="21"/>
  <c r="B29" i="21"/>
  <c r="B30" i="21"/>
  <c r="B31" i="21"/>
  <c r="B32" i="21"/>
  <c r="B33" i="21"/>
  <c r="B34" i="21"/>
  <c r="B35" i="21"/>
  <c r="B36" i="21"/>
  <c r="B37" i="21"/>
  <c r="B38" i="21"/>
  <c r="B39" i="21"/>
  <c r="B40" i="21"/>
  <c r="B41" i="21"/>
  <c r="B42" i="21"/>
  <c r="B43" i="21"/>
  <c r="B44" i="21"/>
  <c r="B45" i="21"/>
  <c r="B46" i="21"/>
  <c r="B47" i="21"/>
  <c r="B48" i="21"/>
  <c r="B49" i="21"/>
  <c r="B50" i="21"/>
  <c r="B51" i="21"/>
  <c r="B52" i="21"/>
  <c r="B53" i="21"/>
  <c r="B54" i="21"/>
  <c r="B55" i="21"/>
  <c r="B56" i="21"/>
  <c r="B57" i="21"/>
  <c r="B58" i="21"/>
  <c r="B59" i="21"/>
  <c r="B60" i="21"/>
  <c r="B61" i="21"/>
  <c r="B62" i="21"/>
  <c r="B63" i="21"/>
  <c r="B64" i="21"/>
  <c r="B65" i="21"/>
  <c r="B66" i="21"/>
  <c r="B67" i="21"/>
  <c r="B68" i="21"/>
  <c r="B69" i="21"/>
  <c r="B70" i="21"/>
  <c r="B71" i="21"/>
  <c r="B72" i="21"/>
  <c r="B73" i="21"/>
  <c r="B74" i="21"/>
  <c r="B75" i="21"/>
  <c r="B76" i="21"/>
  <c r="B77" i="21"/>
  <c r="B78" i="21"/>
  <c r="B79" i="21"/>
  <c r="B80" i="21"/>
  <c r="B81" i="21"/>
  <c r="B82" i="21"/>
  <c r="B83" i="21"/>
  <c r="B84" i="21"/>
  <c r="B85" i="21"/>
  <c r="B86" i="21"/>
  <c r="B87" i="21"/>
  <c r="B88" i="21"/>
  <c r="B89" i="21"/>
  <c r="B90" i="21"/>
  <c r="B91" i="21"/>
  <c r="B92" i="21"/>
  <c r="B93" i="21"/>
  <c r="B94" i="21"/>
  <c r="B95" i="21"/>
  <c r="B96" i="21"/>
  <c r="B97" i="21"/>
  <c r="B98" i="21"/>
  <c r="B99" i="21"/>
  <c r="B100" i="21"/>
  <c r="B101" i="21"/>
  <c r="B102" i="21"/>
  <c r="B103" i="21"/>
  <c r="B104" i="21"/>
  <c r="B105" i="21"/>
  <c r="B106" i="21"/>
  <c r="B107" i="21"/>
  <c r="B108" i="21"/>
  <c r="B109" i="21"/>
  <c r="B110" i="21"/>
  <c r="B111" i="21"/>
  <c r="B112" i="21"/>
  <c r="B113" i="21"/>
  <c r="B114" i="21"/>
  <c r="B115" i="21"/>
  <c r="B116" i="21"/>
  <c r="B117" i="21"/>
  <c r="B118" i="21"/>
  <c r="B119" i="21"/>
  <c r="B3" i="21"/>
  <c r="A25" i="15" l="1"/>
  <c r="A14" i="15"/>
  <c r="A26" i="15"/>
  <c r="A19" i="15"/>
  <c r="A13" i="15"/>
  <c r="A5" i="15"/>
  <c r="A2" i="20" l="1"/>
  <c r="A3" i="20"/>
  <c r="A5" i="20"/>
  <c r="A6" i="20"/>
  <c r="A7" i="20"/>
  <c r="A8" i="20"/>
  <c r="A9" i="20"/>
  <c r="A10" i="20"/>
  <c r="A11" i="20"/>
  <c r="A12" i="20"/>
  <c r="A13" i="20"/>
  <c r="A14" i="20"/>
  <c r="A15" i="20"/>
  <c r="A16" i="20"/>
  <c r="A17" i="20"/>
  <c r="A18" i="20"/>
  <c r="A19" i="20"/>
  <c r="A20" i="20"/>
  <c r="A21" i="20"/>
  <c r="A22" i="20"/>
  <c r="A23" i="20"/>
  <c r="A24" i="20"/>
  <c r="A25" i="20"/>
  <c r="A26" i="20"/>
  <c r="A27" i="20"/>
  <c r="A28" i="20"/>
  <c r="A29" i="20"/>
  <c r="A30" i="20"/>
  <c r="A31" i="20"/>
  <c r="A32" i="20"/>
  <c r="A33" i="20"/>
  <c r="A34" i="20"/>
  <c r="A35" i="20"/>
  <c r="A36" i="20"/>
  <c r="A37" i="20"/>
  <c r="A38" i="20"/>
  <c r="A39" i="20"/>
  <c r="A40" i="20"/>
  <c r="A41" i="20"/>
  <c r="A42" i="20"/>
  <c r="A43" i="20"/>
  <c r="A44" i="20"/>
  <c r="A45" i="20"/>
  <c r="A46" i="20"/>
  <c r="A47" i="20"/>
  <c r="A48" i="20"/>
  <c r="A49" i="20"/>
  <c r="A50" i="20"/>
  <c r="A51" i="20"/>
  <c r="A52" i="20"/>
  <c r="A53" i="20"/>
  <c r="A54" i="20"/>
  <c r="A55" i="20"/>
  <c r="A56" i="20"/>
  <c r="A57" i="20"/>
  <c r="A58" i="20"/>
  <c r="A59" i="20"/>
  <c r="A60" i="20"/>
  <c r="A61" i="20"/>
  <c r="A62" i="20"/>
  <c r="A63" i="20"/>
  <c r="A64" i="20"/>
  <c r="A65" i="20"/>
  <c r="A66" i="20"/>
  <c r="A67" i="20"/>
  <c r="A68" i="20"/>
  <c r="A69" i="20"/>
  <c r="A70" i="20"/>
  <c r="A71" i="20"/>
  <c r="A72" i="20"/>
  <c r="A73" i="20"/>
  <c r="A74" i="20"/>
  <c r="A75" i="20"/>
  <c r="A76" i="20"/>
  <c r="A77" i="20"/>
  <c r="A78" i="20"/>
  <c r="A79" i="20"/>
  <c r="A80" i="20"/>
  <c r="A81" i="20"/>
  <c r="A82" i="20"/>
  <c r="A83" i="20"/>
  <c r="A84" i="20"/>
  <c r="A85" i="20"/>
  <c r="A86" i="20"/>
  <c r="A87" i="20"/>
  <c r="A88" i="20"/>
  <c r="A89" i="20"/>
  <c r="A90" i="20"/>
  <c r="A91" i="20"/>
  <c r="A92" i="20"/>
  <c r="A93" i="20"/>
  <c r="A94" i="20"/>
  <c r="A95" i="20"/>
  <c r="A96" i="20"/>
  <c r="A97" i="20"/>
  <c r="A98" i="20"/>
  <c r="A99" i="20"/>
  <c r="A100" i="20"/>
  <c r="A101" i="20"/>
  <c r="A102" i="20"/>
  <c r="A103" i="20"/>
  <c r="A104" i="20"/>
  <c r="A105" i="20"/>
  <c r="A106" i="20"/>
  <c r="A107" i="20"/>
  <c r="A108" i="20"/>
  <c r="A109" i="20"/>
  <c r="A110" i="20"/>
  <c r="A111" i="20"/>
  <c r="A112" i="20"/>
  <c r="A113" i="20"/>
  <c r="A114" i="20"/>
  <c r="A115" i="20"/>
  <c r="A116" i="20"/>
  <c r="A117" i="20"/>
  <c r="A118" i="20"/>
  <c r="A119" i="20"/>
  <c r="A120" i="20"/>
  <c r="A121" i="20"/>
  <c r="A122" i="20"/>
  <c r="A123" i="20"/>
  <c r="A124" i="20"/>
  <c r="A125" i="20"/>
  <c r="A126" i="20"/>
  <c r="A127" i="20"/>
  <c r="A128" i="20"/>
  <c r="A129" i="20"/>
  <c r="A130" i="20"/>
  <c r="A131" i="20"/>
  <c r="A132" i="20"/>
  <c r="A133" i="20"/>
  <c r="A134" i="20"/>
  <c r="A135" i="20"/>
  <c r="A136" i="20"/>
  <c r="A137" i="20"/>
  <c r="A138" i="20"/>
  <c r="A139" i="20"/>
  <c r="A140" i="20"/>
  <c r="A141" i="20"/>
  <c r="A142" i="20"/>
  <c r="A143" i="20"/>
  <c r="A144" i="20"/>
  <c r="A145" i="20"/>
  <c r="A146" i="20"/>
  <c r="A147" i="20"/>
  <c r="A148" i="20"/>
  <c r="A149" i="20"/>
  <c r="A150" i="20"/>
  <c r="A151" i="20"/>
  <c r="A152" i="20"/>
  <c r="A153" i="20"/>
  <c r="A154" i="20"/>
  <c r="A155" i="20"/>
  <c r="A156" i="20"/>
  <c r="A157" i="20"/>
  <c r="A158" i="20"/>
  <c r="A4" i="20"/>
  <c r="B1" i="19" l="1"/>
  <c r="B2" i="19" s="1"/>
  <c r="B3" i="19" s="1"/>
  <c r="B4" i="19" s="1"/>
  <c r="B5" i="19" s="1"/>
  <c r="B6" i="19" s="1"/>
  <c r="B7" i="19" s="1"/>
  <c r="B8" i="19" s="1"/>
  <c r="B9" i="19" s="1"/>
  <c r="B10" i="19" s="1"/>
  <c r="B11" i="19" s="1"/>
  <c r="B12" i="19" s="1"/>
  <c r="B13" i="19" s="1"/>
  <c r="B14" i="19" s="1"/>
  <c r="B15" i="19" s="1"/>
  <c r="B16" i="19" s="1"/>
  <c r="B17" i="19" s="1"/>
  <c r="B18" i="19" s="1"/>
  <c r="D1" i="17" l="1"/>
  <c r="P2" i="16" l="1"/>
  <c r="P3" i="16"/>
  <c r="P4" i="16"/>
  <c r="P5" i="16"/>
  <c r="P6" i="16"/>
  <c r="P7" i="16"/>
  <c r="P8" i="16"/>
  <c r="P9" i="16"/>
  <c r="P10" i="16"/>
  <c r="P11" i="16"/>
  <c r="P12" i="16"/>
  <c r="P13" i="16"/>
  <c r="P14" i="16"/>
  <c r="P15" i="16"/>
  <c r="P16" i="16"/>
  <c r="P17" i="16"/>
  <c r="P18" i="16"/>
  <c r="P19" i="16"/>
  <c r="P20" i="16"/>
  <c r="P21" i="16"/>
  <c r="P22" i="16"/>
  <c r="P1" i="16"/>
  <c r="I2" i="16"/>
  <c r="I3" i="16"/>
  <c r="I4" i="16"/>
  <c r="I5" i="16"/>
  <c r="I6" i="16"/>
  <c r="I7" i="16"/>
  <c r="I8" i="16"/>
  <c r="I9" i="16"/>
  <c r="I10" i="16"/>
  <c r="I11" i="16"/>
  <c r="I12" i="16"/>
  <c r="I13" i="16"/>
  <c r="I14" i="16"/>
  <c r="I15" i="16"/>
  <c r="I16" i="16"/>
  <c r="I1" i="16"/>
  <c r="B6" i="16" l="1"/>
  <c r="B7" i="16"/>
  <c r="B8" i="16"/>
  <c r="B9" i="16"/>
  <c r="B10" i="16"/>
  <c r="B11" i="16"/>
  <c r="B12" i="16"/>
  <c r="B13" i="16"/>
  <c r="B14" i="16"/>
  <c r="B15" i="16"/>
  <c r="B16" i="16"/>
  <c r="B17" i="16"/>
  <c r="B18" i="16"/>
  <c r="B19" i="16"/>
  <c r="B20" i="16"/>
  <c r="B21" i="16"/>
  <c r="B22" i="16"/>
  <c r="B23" i="16"/>
  <c r="B24" i="16"/>
  <c r="B25" i="16"/>
  <c r="B26" i="16"/>
  <c r="B27" i="16"/>
  <c r="B28" i="16"/>
  <c r="B29" i="16"/>
  <c r="B30" i="16"/>
  <c r="B31" i="16"/>
  <c r="B32" i="16"/>
  <c r="B33" i="16"/>
  <c r="B34" i="16"/>
  <c r="B35" i="16"/>
  <c r="B36" i="16"/>
  <c r="B37" i="16"/>
  <c r="B38" i="16"/>
  <c r="B39" i="16"/>
  <c r="B40" i="16"/>
  <c r="B41" i="16"/>
  <c r="B42" i="16"/>
  <c r="B43" i="16"/>
  <c r="B44" i="16"/>
  <c r="B5" i="16"/>
  <c r="B4" i="16"/>
  <c r="D8" i="12" l="1"/>
  <c r="G8" i="12" s="1"/>
  <c r="D9" i="12"/>
  <c r="G9" i="12" s="1"/>
  <c r="D10" i="12"/>
  <c r="G10" i="12" s="1"/>
  <c r="D6" i="12"/>
  <c r="G6" i="12" s="1"/>
  <c r="D7" i="12"/>
  <c r="G7" i="12" s="1"/>
  <c r="E8" i="12" l="1"/>
  <c r="E6" i="12"/>
  <c r="H9" i="12"/>
  <c r="F7" i="12"/>
  <c r="F10" i="12"/>
  <c r="H10" i="12"/>
  <c r="E10" i="12"/>
  <c r="E9" i="12"/>
  <c r="E7" i="12"/>
  <c r="F8" i="12"/>
  <c r="H7" i="12"/>
  <c r="H8" i="12"/>
  <c r="F9" i="12"/>
  <c r="F6" i="12"/>
  <c r="H6" i="12"/>
  <c r="D2" i="12"/>
  <c r="G2" i="12" s="1"/>
  <c r="D4" i="12"/>
  <c r="G4" i="12" s="1"/>
  <c r="D5" i="12"/>
  <c r="G5" i="12" s="1"/>
  <c r="D3" i="12"/>
  <c r="G3" i="12" s="1"/>
  <c r="F2" i="12" l="1"/>
  <c r="H3" i="12"/>
  <c r="E3" i="12"/>
  <c r="F3" i="12"/>
  <c r="H2" i="12"/>
  <c r="E2" i="12"/>
  <c r="E5" i="12"/>
  <c r="H5" i="12"/>
  <c r="F5" i="12"/>
  <c r="E4" i="12"/>
  <c r="H4" i="12"/>
  <c r="F4" i="1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4ACE155-EBE2-48B9-B1C5-E96F0978E944}" keepAlive="1" name="Query - Columns" description="Connection to the 'Columns' query in the workbook." type="5" refreshedVersion="7" background="1" saveData="1">
    <dbPr connection="Provider=Microsoft.Mashup.OleDb.1;Data Source=$Workbook$;Location=Columns;Extended Properties=&quot;&quot;" command="SELECT * FROM [Columns]"/>
  </connection>
  <connection id="2" xr16:uid="{83931ADE-97A1-469B-BE85-4A0705A89989}" keepAlive="1" name="Query - Database" description="Connection to the 'Database' query in the workbook." type="5" refreshedVersion="6" background="1" saveData="1">
    <dbPr connection="Provider=Microsoft.Mashup.OleDb.1;Data Source=$Workbook$;Location=Database;Extended Properties=&quot;&quot;" command="SELECT * FROM [Database]"/>
  </connection>
  <connection id="3" xr16:uid="{9679F7ED-3767-49C4-82FC-7101D71167A8}" keepAlive="1" name="Query - DataSample" description="Connection to the 'DataSample' query in the workbook." type="5" refreshedVersion="7" background="1" saveData="1">
    <dbPr connection="Provider=Microsoft.Mashup.OleDb.1;Data Source=$Workbook$;Location=DataSample;Extended Properties=&quot;&quot;" command="SELECT * FROM [DataSample]"/>
  </connection>
  <connection id="4" xr16:uid="{9E6C99AC-6DA4-40BD-ACBD-6F1809984021}" keepAlive="1" name="Query - fnGetParameter" description="Connection to the 'fnGetParameter' query in the workbook." type="5" refreshedVersion="0" background="1" saveData="1">
    <dbPr connection="Provider=Microsoft.Mashup.OleDb.1;Data Source=$Workbook$;Location=fnGetParameter;Extended Properties=&quot;&quot;" command="SELECT * FROM [fnGetParameter]"/>
  </connection>
  <connection id="5" xr16:uid="{946B867D-5BFE-4D4B-83F9-209662D3AEB8}" keepAlive="1" name="Query - Parameters" description="Connection to the 'Parameters' query in the workbook." type="5" refreshedVersion="6" background="1" saveData="1">
    <dbPr connection="Provider=Microsoft.Mashup.OleDb.1;Data Source=$Workbook$;Location=Parameters;Extended Properties=&quot;&quot;" command="SELECT * FROM [Parameters]"/>
  </connection>
  <connection id="6" xr16:uid="{5303C897-E6D5-47B0-B18B-806D9094D00A}" keepAlive="1" name="Query - Schemas" description="Connection to the 'Schemas' query in the workbook." type="5" refreshedVersion="6" background="1" saveData="1">
    <dbPr connection="Provider=Microsoft.Mashup.OleDb.1;Data Source=$Workbook$;Location=Schemas;Extended Properties=&quot;&quot;" command="SELECT * FROM [Schemas]"/>
  </connection>
  <connection id="7" xr16:uid="{6F41C1D1-EE9A-46E7-9ED9-F9EBF25CF684}" keepAlive="1" name="Query - Tables" description="Connection to the 'Tables' query in the workbook." type="5" refreshedVersion="7" background="1" saveData="1">
    <dbPr connection="Provider=Microsoft.Mashup.OleDb.1;Data Source=$Workbook$;Location=Tables;Extended Properties=&quot;&quot;" command="SELECT * FROM [Tables]"/>
  </connection>
  <connection id="8" xr16:uid="{CB53A431-BE1B-4AE6-81CD-46D2AE519341}"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9" xr16:uid="{70450787-508E-4F6F-A2A7-2FF4939049DC}" name="WorksheetConnection_Work on PowerPivot.xlsx!Table3" type="102" refreshedVersion="6" minRefreshableVersion="5">
    <extLst>
      <ext xmlns:x15="http://schemas.microsoft.com/office/spreadsheetml/2010/11/main" uri="{DE250136-89BD-433C-8126-D09CA5730AF9}">
        <x15:connection id="Table3">
          <x15:rangePr sourceName="_xlcn.WorksheetConnection_WorkonPowerPivot.xlsxTable3"/>
        </x15:connection>
      </ext>
    </extLst>
  </connection>
</connections>
</file>

<file path=xl/sharedStrings.xml><?xml version="1.0" encoding="utf-8"?>
<sst xmlns="http://schemas.openxmlformats.org/spreadsheetml/2006/main" count="6120" uniqueCount="4131">
  <si>
    <t>TABLE_SCHEMA</t>
  </si>
  <si>
    <t>TABLE_NAME</t>
  </si>
  <si>
    <t>COLUMN_NAME</t>
  </si>
  <si>
    <t>ORDINAL_POSITION</t>
  </si>
  <si>
    <t>IS_NULLABLE</t>
  </si>
  <si>
    <t>DATA_TYPE</t>
  </si>
  <si>
    <t>NUMERIC_PRECISION_RADIX</t>
  </si>
  <si>
    <t>NUMERIC_PRECISION</t>
  </si>
  <si>
    <t>NUMERIC_SCALE</t>
  </si>
  <si>
    <t>DATETIME_PRECISION</t>
  </si>
  <si>
    <t>CHARACTER_MAXIMUM_LENGTH</t>
  </si>
  <si>
    <t>DESCRIPTION</t>
  </si>
  <si>
    <t>COLUMN_DEFAULT</t>
  </si>
  <si>
    <t>COLUMN_EXPRESSION</t>
  </si>
  <si>
    <t>IS_WRITABLE</t>
  </si>
  <si>
    <t>Parameter</t>
  </si>
  <si>
    <t>Value</t>
  </si>
  <si>
    <t>TableName</t>
  </si>
  <si>
    <t>Schema</t>
  </si>
  <si>
    <t>Database</t>
  </si>
  <si>
    <t>Server</t>
  </si>
  <si>
    <t>xrsql01</t>
  </si>
  <si>
    <t>Sort</t>
  </si>
  <si>
    <t>TABLE_TYPE</t>
  </si>
  <si>
    <t>name</t>
  </si>
  <si>
    <t>master</t>
  </si>
  <si>
    <t>Name</t>
  </si>
  <si>
    <t>xrsql02</t>
  </si>
  <si>
    <t>xrLoanManager</t>
  </si>
  <si>
    <t>crdb1</t>
  </si>
  <si>
    <t>ColumnName</t>
  </si>
  <si>
    <t>List</t>
  </si>
  <si>
    <t>Where</t>
  </si>
  <si>
    <t>Update</t>
  </si>
  <si>
    <t>Values</t>
  </si>
  <si>
    <t>ADD</t>
  </si>
  <si>
    <t>[T_CreatedDate] [datetime] NULL,</t>
  </si>
  <si>
    <t>[T_ModifiedDate] [datetime] NULL,</t>
  </si>
  <si>
    <t>[T_DeletedDate] [datetime] NULL,</t>
  </si>
  <si>
    <t>[T_DeletedFlag] [tinyint] NULL</t>
  </si>
  <si>
    <t>GO</t>
  </si>
  <si>
    <t>tempdb</t>
  </si>
  <si>
    <t>model</t>
  </si>
  <si>
    <t>msdb</t>
  </si>
  <si>
    <t>dbo</t>
  </si>
  <si>
    <t>CR-IT16</t>
  </si>
  <si>
    <t>Select</t>
  </si>
  <si>
    <t>Column list</t>
  </si>
  <si>
    <t>AS</t>
  </si>
  <si>
    <t>lkpAvgDaysPastDue_Existing</t>
  </si>
  <si>
    <t>lkpAvgDaysPastDue_Market</t>
  </si>
  <si>
    <t>lkpCARBHeavy</t>
  </si>
  <si>
    <t>lkpDecisionTreeConfig</t>
  </si>
  <si>
    <t>lkpDeliqRatePercChange</t>
  </si>
  <si>
    <t>lkpDownPmtPerc</t>
  </si>
  <si>
    <t>lkpELCutOff</t>
  </si>
  <si>
    <t>lkpFICOScore_Main</t>
  </si>
  <si>
    <t>lkpFICOScore_Prin2</t>
  </si>
  <si>
    <t>lkpLGD</t>
  </si>
  <si>
    <t>lkpLTV</t>
  </si>
  <si>
    <t>lkpNumInquiries</t>
  </si>
  <si>
    <t>lkpNumTrucksOwned</t>
  </si>
  <si>
    <t>lkpPaynetScore_Main</t>
  </si>
  <si>
    <t>lkpPmt31_PastDue</t>
  </si>
  <si>
    <t>lkpPrelimDecision</t>
  </si>
  <si>
    <t>lkpRiskGrade</t>
  </si>
  <si>
    <t>lkpRiskScore</t>
  </si>
  <si>
    <t>lkpStateCode</t>
  </si>
  <si>
    <t>lkpTerm</t>
  </si>
  <si>
    <t>lkpTimeInBusiness</t>
  </si>
  <si>
    <t>lkpUsedAsset</t>
  </si>
  <si>
    <t>VehicleModels</t>
  </si>
  <si>
    <t>sub9000</t>
  </si>
  <si>
    <t>tAddress</t>
  </si>
  <si>
    <t>tApplication</t>
  </si>
  <si>
    <t>tApplicationAsset</t>
  </si>
  <si>
    <t>tApplicationCompany</t>
  </si>
  <si>
    <t>tCompany</t>
  </si>
  <si>
    <t>tGuarantor</t>
  </si>
  <si>
    <t>tGuarantorCBReport</t>
  </si>
  <si>
    <t>tLesseeCBReport</t>
  </si>
  <si>
    <t>tUser</t>
  </si>
  <si>
    <t>tWorkflowHistory</t>
  </si>
  <si>
    <t>vAppV3ApplicationAsset</t>
  </si>
  <si>
    <t>Paynet</t>
  </si>
  <si>
    <t>tApplicationPricing9000</t>
  </si>
  <si>
    <t>tVVGDealers</t>
  </si>
  <si>
    <t>vApprovalForm</t>
  </si>
  <si>
    <t>dbo.</t>
  </si>
  <si>
    <t xml:space="preserve"> as </t>
  </si>
  <si>
    <t>CREATE VIEW lc.v_LeaseBillingHistory</t>
  </si>
  <si>
    <t xml:space="preserve">    AFTER  UPDATE</t>
  </si>
  <si>
    <t>BEGIN</t>
  </si>
  <si>
    <t xml:space="preserve">    UPDATE X </t>
  </si>
  <si>
    <t xml:space="preserve">    SET T_ModifiedDate = GETDATE()</t>
  </si>
  <si>
    <t xml:space="preserve">END </t>
  </si>
  <si>
    <t>TableName:</t>
  </si>
  <si>
    <t>PK:</t>
  </si>
  <si>
    <t>Aspire</t>
  </si>
  <si>
    <t>BASE TABLE</t>
  </si>
  <si>
    <t>XR-SQL-DEV02</t>
  </si>
  <si>
    <t>SELECT TOP 10</t>
  </si>
  <si>
    <t>Null as MiddleName</t>
  </si>
  <si>
    <t>Null as Salutation</t>
  </si>
  <si>
    <t>Null as Suffix</t>
  </si>
  <si>
    <t>Null as AccountGroup</t>
  </si>
  <si>
    <t>Null as CAC_Company</t>
  </si>
  <si>
    <t>Null as CashApplicationCode</t>
  </si>
  <si>
    <t>Null as DC_Company</t>
  </si>
  <si>
    <t>Null as DelinquencyCode</t>
  </si>
  <si>
    <t>'Active' as AccountStatus</t>
  </si>
  <si>
    <t>Null as AlternateName</t>
  </si>
  <si>
    <t>Null as SalesRepresentative</t>
  </si>
  <si>
    <t>Null as Collector</t>
  </si>
  <si>
    <t>Null as CollectionTeam</t>
  </si>
  <si>
    <t>'False' as IsPermanentCollectionAssignment</t>
  </si>
  <si>
    <t>Null as InvoiceCode</t>
  </si>
  <si>
    <t>Null as InvoiceLeadDays</t>
  </si>
  <si>
    <t>'USD' as Currency</t>
  </si>
  <si>
    <t>Null as License</t>
  </si>
  <si>
    <t>'Transportation' as NatureofBusiness</t>
  </si>
  <si>
    <t>Null as StateofIncorporation</t>
  </si>
  <si>
    <t>Null as StateIdNumber</t>
  </si>
  <si>
    <t>Null as BusinessStartDate</t>
  </si>
  <si>
    <t>Null as CurrentOwnershipDate</t>
  </si>
  <si>
    <t>Null as DUNSNumber</t>
  </si>
  <si>
    <t>Null as ExperianFileID</t>
  </si>
  <si>
    <t>Null as PayNetID</t>
  </si>
  <si>
    <t>Null as EquifaxID</t>
  </si>
  <si>
    <t>Null as CreditRating</t>
  </si>
  <si>
    <t>Null as DateofBirth</t>
  </si>
  <si>
    <t>Null as Gender</t>
  </si>
  <si>
    <t>Null as Spouse</t>
  </si>
  <si>
    <t>Null as Department</t>
  </si>
  <si>
    <t>Null as BusinessTitle</t>
  </si>
  <si>
    <t>Null as Title</t>
  </si>
  <si>
    <t>Null as [Function]</t>
  </si>
  <si>
    <t>Null as CountryofCitizenship</t>
  </si>
  <si>
    <t>'False' as CreditReleaseObtained</t>
  </si>
  <si>
    <t>'False' as TaxExempt</t>
  </si>
  <si>
    <t>Null as ExemptExpirationDate</t>
  </si>
  <si>
    <t>Null as ExemptCertificateID</t>
  </si>
  <si>
    <t>Null as ExemptReason</t>
  </si>
  <si>
    <t>Null as DocumentSigner</t>
  </si>
  <si>
    <t>Null as Phone1Extension</t>
  </si>
  <si>
    <t>Null as Phone2Extension</t>
  </si>
  <si>
    <t>Null as Phone3</t>
  </si>
  <si>
    <t>Null as Phone3Extension</t>
  </si>
  <si>
    <t>Null as Phone3Type</t>
  </si>
  <si>
    <t>Null as Phone3Primary</t>
  </si>
  <si>
    <t>Null as Phone4</t>
  </si>
  <si>
    <t>Null as Phone4Extension</t>
  </si>
  <si>
    <t>Null as Phone4Type</t>
  </si>
  <si>
    <t>Null as Phone4Primary</t>
  </si>
  <si>
    <t>Null as UserInitials</t>
  </si>
  <si>
    <t>Null as UserId</t>
  </si>
  <si>
    <t>Null as Password</t>
  </si>
  <si>
    <t>Null as WebOnly</t>
  </si>
  <si>
    <t>Null as DeactivationDate</t>
  </si>
  <si>
    <t>Null as Profile</t>
  </si>
  <si>
    <t>Null as AutoRunatLogin</t>
  </si>
  <si>
    <t>Null as AttachUserasRole</t>
  </si>
  <si>
    <t>Null as PasswordExpirationDate</t>
  </si>
  <si>
    <t>Null as CreditDecisionThresholdEnabled</t>
  </si>
  <si>
    <t>Null as ThresholdApprovalAmount</t>
  </si>
  <si>
    <t>Null as DealAccess</t>
  </si>
  <si>
    <t>Null as FinanceCompanyAccess</t>
  </si>
  <si>
    <t>Null as FinanceProgramAccess</t>
  </si>
  <si>
    <t>Null as CreditDecision</t>
  </si>
  <si>
    <t>'1/1/2018 12:00:00 AM' as LastFinancialDate</t>
  </si>
  <si>
    <t>Null as CreditReviewDate</t>
  </si>
  <si>
    <t>Null as ExpirationDate</t>
  </si>
  <si>
    <t>Null as CreditScore</t>
  </si>
  <si>
    <t>'True' as Is_Primary</t>
  </si>
  <si>
    <t>Null as PrivateLabelName</t>
  </si>
  <si>
    <t>Null as PaymentTermsCode</t>
  </si>
  <si>
    <t>Null as PaymentMethodCode</t>
  </si>
  <si>
    <t>Null as ShippingMethodCode</t>
  </si>
  <si>
    <t>Null as IsAccountsPayable</t>
  </si>
  <si>
    <t>Null as Is1099Account</t>
  </si>
  <si>
    <t>Null as DaysforFundingApproval</t>
  </si>
  <si>
    <t>Null as ReservePercentage</t>
  </si>
  <si>
    <t>Null as ReserveType</t>
  </si>
  <si>
    <t>Null as BankFee</t>
  </si>
  <si>
    <t>Null as ComputeMethod</t>
  </si>
  <si>
    <t>Null as Period</t>
  </si>
  <si>
    <t>Null as YearLength</t>
  </si>
  <si>
    <t>Null as DiscountAccountingMethod</t>
  </si>
  <si>
    <t>Null as ResponsibleParty</t>
  </si>
  <si>
    <t>Null as ResponsibleFor</t>
  </si>
  <si>
    <t>Null as PaymentRemittedTo</t>
  </si>
  <si>
    <t>Null as SalesTaxRemittedTo</t>
  </si>
  <si>
    <t>Null as AccountingMethod</t>
  </si>
  <si>
    <t>Null as IsRecourse</t>
  </si>
  <si>
    <t>Null as PropertyTaxResponsiblePartyDefault</t>
  </si>
  <si>
    <t>Null as TaxAfterExemptExpirationDate</t>
  </si>
  <si>
    <t>Null as AgentID</t>
  </si>
  <si>
    <t>Null as NextContractId</t>
  </si>
  <si>
    <t>Null as CompanyRegistrationNumber</t>
  </si>
  <si>
    <t>dc.ID_Customer as AccountID</t>
  </si>
  <si>
    <t>'I' as BusinessorIndividual</t>
  </si>
  <si>
    <t>Null as BusinessName</t>
  </si>
  <si>
    <t>dc.FirstName as FirstName</t>
  </si>
  <si>
    <t>dc.LastName as LastName</t>
  </si>
  <si>
    <t>'Customer|Contact' as Roles</t>
  </si>
  <si>
    <t>dc2.CompanyName as ParentCompany</t>
  </si>
  <si>
    <t>dc.LastName as LegalName</t>
  </si>
  <si>
    <t>dp.EmailAddress as Email</t>
  </si>
  <si>
    <t>dc.SSN as SSN</t>
  </si>
  <si>
    <t>Null as DBA</t>
  </si>
  <si>
    <t>Null as CompanyType</t>
  </si>
  <si>
    <t>Null as IndustryType</t>
  </si>
  <si>
    <t>Null as PercentOwnership</t>
  </si>
  <si>
    <t>dp.PhoneNumber as Phone1</t>
  </si>
  <si>
    <t>'H' as Phone1Type</t>
  </si>
  <si>
    <t>'True' as Phone1Primary</t>
  </si>
  <si>
    <t>dp.AltPhoneNumber as Phone2</t>
  </si>
  <si>
    <t>'C' as Phone2Type</t>
  </si>
  <si>
    <t>'False' as Phone2Primary</t>
  </si>
  <si>
    <t>FROM dbo.DimCustomer AS dc</t>
  </si>
  <si>
    <t>LEFT JOIN dbo.DimCompany AS dc2 ON dc.ID_Company = dc2.ID_Company</t>
  </si>
  <si>
    <t>LEFT JOIN dbo.DimPhone AS dp ON dc.ID_Customer = dp.ID_Customer</t>
  </si>
  <si>
    <t>Global</t>
  </si>
  <si>
    <t>Stage</t>
  </si>
  <si>
    <t>Core</t>
  </si>
  <si>
    <t>SSISDB</t>
  </si>
  <si>
    <t>CreditScoreDecision</t>
  </si>
  <si>
    <t>DecisionEngine</t>
  </si>
  <si>
    <t>Datamart</t>
  </si>
  <si>
    <t>Column1</t>
  </si>
  <si>
    <t>Column2</t>
  </si>
  <si>
    <t>leaseOrgCustomerID</t>
  </si>
  <si>
    <t>leasePaySchID</t>
  </si>
  <si>
    <t>leaseUpdateUserID</t>
  </si>
  <si>
    <t>leaseTypeCode</t>
  </si>
  <si>
    <t>leasePaymentCalcCode</t>
  </si>
  <si>
    <t>leasePaymentMethodCode</t>
  </si>
  <si>
    <t>leaseStatus</t>
  </si>
  <si>
    <t>leaseProcessCode</t>
  </si>
  <si>
    <t>leasePmtSplitCode</t>
  </si>
  <si>
    <t>leasePmtAllocationOrder</t>
  </si>
  <si>
    <t>leasePerformingStatus</t>
  </si>
  <si>
    <t>leaseOfficerCode</t>
  </si>
  <si>
    <t>leaseRelationOfficerCode</t>
  </si>
  <si>
    <t>leaseRiskCode</t>
  </si>
  <si>
    <t>leaseRiskSource</t>
  </si>
  <si>
    <t>leaseSICCode</t>
  </si>
  <si>
    <t>leaseRebateOptionCode</t>
  </si>
  <si>
    <t>leaseReportCode1</t>
  </si>
  <si>
    <t>leaseReportCode2</t>
  </si>
  <si>
    <t>leaseReportCode3</t>
  </si>
  <si>
    <t>leaseReportCode4</t>
  </si>
  <si>
    <t>leaseProduceBillInvoice</t>
  </si>
  <si>
    <t>leaseSalesTaxPrepaidInd</t>
  </si>
  <si>
    <t>leaseSalesTaxExemptInd</t>
  </si>
  <si>
    <t>leaseStopAllCorrespondence</t>
  </si>
  <si>
    <t>leaseSubLeaseInd</t>
  </si>
  <si>
    <t>leaseSkipFirstPmtInd</t>
  </si>
  <si>
    <t>leaseTermChargeIDCInd</t>
  </si>
  <si>
    <t>leaseTermChargeCapFeeInd</t>
  </si>
  <si>
    <t>leaseRemitCapSalesTaxInd</t>
  </si>
  <si>
    <t>leaseVariablePmtInd</t>
  </si>
  <si>
    <t>leaseResidualInsCapInd</t>
  </si>
  <si>
    <t>leaseTerm</t>
  </si>
  <si>
    <t>leasePrintDay</t>
  </si>
  <si>
    <t>leasePastDueDays</t>
  </si>
  <si>
    <t>leasePmtsRemainingCtr</t>
  </si>
  <si>
    <t>leasePmtsMadeCtr</t>
  </si>
  <si>
    <t>leaseTerminationDate</t>
  </si>
  <si>
    <t>leasePastDueDate</t>
  </si>
  <si>
    <t>leaseRiskDate</t>
  </si>
  <si>
    <t>leasePerformingStatusChangeDate</t>
  </si>
  <si>
    <t>leaseUpdateDate</t>
  </si>
  <si>
    <t>leaseRate</t>
  </si>
  <si>
    <t>leasePreTaxYieldRate</t>
  </si>
  <si>
    <t>leaseOriginalAmount</t>
  </si>
  <si>
    <t>leasePrincipalBalAmt</t>
  </si>
  <si>
    <t>leasePrevBillBalAmt</t>
  </si>
  <si>
    <t>leasePrevBillPrincipalAmt</t>
  </si>
  <si>
    <t>leaseResidualAmt</t>
  </si>
  <si>
    <t>leaseTotalDiscountAmt</t>
  </si>
  <si>
    <t>leaseUnearnedDiscountAmt</t>
  </si>
  <si>
    <t>leasePrevBillInterestAmt</t>
  </si>
  <si>
    <t>leasePaymentAmt</t>
  </si>
  <si>
    <t>leaseSalesTaxPmtAmt</t>
  </si>
  <si>
    <t>leaseTotalPmtAmt</t>
  </si>
  <si>
    <t>leasePurchaseFee</t>
  </si>
  <si>
    <t>leasePassThruFeeBal</t>
  </si>
  <si>
    <t>leaseTotalPurchAmt</t>
  </si>
  <si>
    <t>leaseSecurityDepositAmt</t>
  </si>
  <si>
    <t>leaseRecondDepositAmt</t>
  </si>
  <si>
    <t>leaseRegistrationFeeAmt</t>
  </si>
  <si>
    <t>leaseOtherDeliveryFee1</t>
  </si>
  <si>
    <t>leaseRentChargeAmt</t>
  </si>
  <si>
    <t>leasePurchOptionAmt</t>
  </si>
  <si>
    <t>leaseOrigBasePmtAmt</t>
  </si>
  <si>
    <t>leaseOrigPmtsRecBalAmt</t>
  </si>
  <si>
    <t>leasePmtsRecBalAmt</t>
  </si>
  <si>
    <t>leaseSuspendProcessingInd</t>
  </si>
  <si>
    <t>leaseTermMonths</t>
  </si>
  <si>
    <t>leaseOrigCreationDate</t>
  </si>
  <si>
    <t>leaseOrigEndDate</t>
  </si>
  <si>
    <t>leasePrepaidArFeeInd</t>
  </si>
  <si>
    <t>leaseSecPoolCode</t>
  </si>
  <si>
    <t>leasePostOtherDepositAsFinalPmtInd</t>
  </si>
  <si>
    <t>leaseRemitToAddressID</t>
  </si>
  <si>
    <t>leaseTotalPurchNontaxAmt</t>
  </si>
  <si>
    <t>leaseRebateDealerID</t>
  </si>
  <si>
    <t>leaseOddDaysIntTaxInd</t>
  </si>
  <si>
    <t>leaseSecEffectDate</t>
  </si>
  <si>
    <t>leaseSecPostDate</t>
  </si>
  <si>
    <t>U_Lease_Selling_Price</t>
  </si>
  <si>
    <t>U_Lease_GPS</t>
  </si>
  <si>
    <t>U_Lease_Admin_Fee</t>
  </si>
  <si>
    <t>U_Lease_Sales_Tax_Detail</t>
  </si>
  <si>
    <t>U_Lease_Delivery_Fees_Detail</t>
  </si>
  <si>
    <t>U_Lease_Documentation_Fee_Detail</t>
  </si>
  <si>
    <t>U_Lease_License</t>
  </si>
  <si>
    <t>U_Lease_Warranty_Detail</t>
  </si>
  <si>
    <t>U_Lease_GAP_MAP_Detail</t>
  </si>
  <si>
    <t>U_Lease_Contract_Fee_Detail</t>
  </si>
  <si>
    <t>U_Lease_Down_Pmt_Detail</t>
  </si>
  <si>
    <t>U_Lease_Total_Price_Detail</t>
  </si>
  <si>
    <t>U_Lease_Residual_Detail</t>
  </si>
  <si>
    <t>U_Lease_Net_To_Dealer_Detail</t>
  </si>
  <si>
    <t>U_Lease_Cap_Reduction</t>
  </si>
  <si>
    <t>U_Lease_Total_to_Finance</t>
  </si>
  <si>
    <t>U_Lease_Security_Deposit_Details</t>
  </si>
  <si>
    <t>U_Lease_Commission</t>
  </si>
  <si>
    <t>U_Lease_GPS_Serial</t>
  </si>
  <si>
    <t>leasePrepaidArFeeDueDate</t>
  </si>
  <si>
    <t>leaseSecurityDepositPrepaidAmt</t>
  </si>
  <si>
    <t>leaseRecondDepositPrepaidAmt</t>
  </si>
  <si>
    <t>U_Lease_Cash_Yield</t>
  </si>
  <si>
    <t>leaseSecurityDepositRecAmt</t>
  </si>
  <si>
    <t>leaseSecurityDepositPmtAmt</t>
  </si>
  <si>
    <t>leaseSecurityDepositPaidMTDAmt</t>
  </si>
  <si>
    <t>leaseSecurityDepositPaidPrevMTDAmt</t>
  </si>
  <si>
    <t>leaseSecurityDepositPaidYTDAmt</t>
  </si>
  <si>
    <t>leaseSecurityDepositPaidPrevYTDAmt</t>
  </si>
  <si>
    <t>leaseSecurityDepositPaidLTDAmt</t>
  </si>
  <si>
    <t>leaseOtherDepositRecAmt</t>
  </si>
  <si>
    <t>leaseOtherDepositPmtAmt</t>
  </si>
  <si>
    <t>leaseOtherDepositPaidPrevYTDAmt</t>
  </si>
  <si>
    <t>leaseOtherDepositPaidLTDAmt</t>
  </si>
  <si>
    <t>leasePmtTaxableAmt</t>
  </si>
  <si>
    <t>leasePmtNonTaxableAmt</t>
  </si>
  <si>
    <t>leaseYieldRate</t>
  </si>
  <si>
    <t>leaseTerminationTypeCode</t>
  </si>
  <si>
    <t>U_Lease_Program</t>
  </si>
  <si>
    <t>U_Lease_Balloon_Loan</t>
  </si>
  <si>
    <t>U_Lease_Grant</t>
  </si>
  <si>
    <t>leaseSkipAutoCostCreationInd</t>
  </si>
  <si>
    <t>U_Lease_Sponsor</t>
  </si>
  <si>
    <t>U_Lease_Silver_Program</t>
  </si>
  <si>
    <t>U_Lease_Pricing_Tier</t>
  </si>
  <si>
    <t>U_Lease_FCAP</t>
  </si>
  <si>
    <t>U_Lease_ProfitShareRate</t>
  </si>
  <si>
    <t>U_Lease_ProfitShareDealerID</t>
  </si>
  <si>
    <t>leaseRevolvingCode</t>
  </si>
  <si>
    <t>U_Lease_Deposit</t>
  </si>
  <si>
    <t>U_Lease_FCAP_Unit_No</t>
  </si>
  <si>
    <t>U_Lease_FCAP_Terminal_Nbr</t>
  </si>
  <si>
    <t>U_Lease_Driver_Conversion_Date</t>
  </si>
  <si>
    <t>U_Lease_Termination_Reason</t>
  </si>
  <si>
    <t>U_Lease_New_Lease_ID</t>
  </si>
  <si>
    <t>U_Lease_1st_Assumption_Date</t>
  </si>
  <si>
    <t>U_Lease_Initial_FCAP_Customer_ID</t>
  </si>
  <si>
    <t>U_Lease_2nd_Assmptn_Driver</t>
  </si>
  <si>
    <t>U_Lease_Current_Cstmr_ID</t>
  </si>
  <si>
    <t>U_Lease_3rd_Cstmr_ID</t>
  </si>
  <si>
    <t>U_Lease_Total_SDepToCollect</t>
  </si>
  <si>
    <t>leaseSecurityDepositMaxBillAmt</t>
  </si>
  <si>
    <t>U_Lease_FCAP_Sponsor</t>
  </si>
  <si>
    <t>U_Lease_Invoice_Message</t>
  </si>
  <si>
    <t>U_Lease_Pmt_Discount_Waiver_requested</t>
  </si>
  <si>
    <t>U_Lease_cALCAPReserve</t>
  </si>
  <si>
    <t>U_Lease_CalCAPPerc</t>
  </si>
  <si>
    <t>U_Lease_ProfitShareAmt</t>
  </si>
  <si>
    <t>U_Lease_ProfitShareRemainAmt</t>
  </si>
  <si>
    <t>U_Lease_ProfitShareEarnedAmt</t>
  </si>
  <si>
    <t>leasePrepaidBHLimit</t>
  </si>
  <si>
    <t>leasePmtOverageAllocOrder</t>
  </si>
  <si>
    <t>U_Lease_PM_TermToActg</t>
  </si>
  <si>
    <t>U_Lease_FileLocation</t>
  </si>
  <si>
    <t>U_Lease_Responsible_Collector</t>
  </si>
  <si>
    <t>U_Lease_Heat_Map_Rating</t>
  </si>
  <si>
    <t>U_Lease_CalCAPStatus</t>
  </si>
  <si>
    <t>U_Lease_CalCAPNum</t>
  </si>
  <si>
    <t>U_Lease_recReturned</t>
  </si>
  <si>
    <t>U_Lease_SettlementAmt</t>
  </si>
  <si>
    <t>U_Lease_SettlementDate</t>
  </si>
  <si>
    <t>U_Lease_ClaimAmt</t>
  </si>
  <si>
    <t>U_Lease_ClaimDate</t>
  </si>
  <si>
    <t>U_Lease_CalCAPFundDate</t>
  </si>
  <si>
    <t>U_Lease_CalCAPEnrollDate</t>
  </si>
  <si>
    <t>U_Lease_PromoCode</t>
  </si>
  <si>
    <t>U_Lease_VendorFundDate</t>
  </si>
  <si>
    <t>U_Lease_contractNote</t>
  </si>
  <si>
    <t>U_Lease_SUBI</t>
  </si>
  <si>
    <t>UpdateDate</t>
  </si>
  <si>
    <t>Loan_Officer__c</t>
  </si>
  <si>
    <t>Expected_Conversion_Date__c</t>
  </si>
  <si>
    <t>Final_Disbursement_Date__c</t>
  </si>
  <si>
    <t>First_Contact_Date__c</t>
  </si>
  <si>
    <t>Franchise_Name__c</t>
  </si>
  <si>
    <t>Franchise__c</t>
  </si>
  <si>
    <t>Good_Faith_Deposit_Received__c</t>
  </si>
  <si>
    <t>Industry_Experience__c</t>
  </si>
  <si>
    <t>Interest_Rate__c</t>
  </si>
  <si>
    <t>LOI_Accepted_Date__c</t>
  </si>
  <si>
    <t>LOI_Issue_Date__c</t>
  </si>
  <si>
    <t>Lead_Source_Type__c</t>
  </si>
  <si>
    <t>List_of_Collateral__c</t>
  </si>
  <si>
    <t>Loan_Amount__c</t>
  </si>
  <si>
    <t>Loan_Term__c</t>
  </si>
  <si>
    <t>Loan_Type__c</t>
  </si>
  <si>
    <t>Loan_to_Value_Cost__c</t>
  </si>
  <si>
    <t>MLC_Approval_Date__c</t>
  </si>
  <si>
    <t>MLC_Approval_Submission_Date__c</t>
  </si>
  <si>
    <t>Prescreen_Document_Location__c</t>
  </si>
  <si>
    <t>Prescreen_Submission_Date__c</t>
  </si>
  <si>
    <t>Pricing__c</t>
  </si>
  <si>
    <t>Primary_Purpose_of_Loan__c</t>
  </si>
  <si>
    <t>Prior_Bankruptcy_Last_10_Years__c</t>
  </si>
  <si>
    <t>Project_Cost__c</t>
  </si>
  <si>
    <t>Property_Type__c</t>
  </si>
  <si>
    <t>Relocation__c</t>
  </si>
  <si>
    <t>SBA_Approval_Date__c</t>
  </si>
  <si>
    <t>SBA_Approval_Submission_Date__c</t>
  </si>
  <si>
    <t>Secondary_Purpose_of_Loan__c</t>
  </si>
  <si>
    <t>Subject_City__c</t>
  </si>
  <si>
    <t>Subject_State__c</t>
  </si>
  <si>
    <t>Subject_Street__c</t>
  </si>
  <si>
    <t>Subject_Zip__c</t>
  </si>
  <si>
    <t>X912_Issue_Description__c</t>
  </si>
  <si>
    <t>X912_Issue__c</t>
  </si>
  <si>
    <t>Last_Stage_Change__c</t>
  </si>
  <si>
    <t>Internal_Loan_Id__c</t>
  </si>
  <si>
    <t>Internal_System__c</t>
  </si>
  <si>
    <t>Maturity_Date__c</t>
  </si>
  <si>
    <t>GCLID__c</t>
  </si>
  <si>
    <t>UTM_Campaign__c</t>
  </si>
  <si>
    <t>UTM_Medium__c</t>
  </si>
  <si>
    <t>UTM_Source__c</t>
  </si>
  <si>
    <t>UTM_Term__c</t>
  </si>
  <si>
    <t>Goals1__c</t>
  </si>
  <si>
    <t>LASERCA__City_Address__c</t>
  </si>
  <si>
    <t>LASERCA__Co_Applicant_First_Name__c</t>
  </si>
  <si>
    <t>LASERCA__Co_Applicant_SSN_Encrypted__c</t>
  </si>
  <si>
    <t>LASERCA__Co_applicant_Last_Name__c</t>
  </si>
  <si>
    <t>LASERCA__File_Number__c</t>
  </si>
  <si>
    <t>LASERCA__First_Name__c</t>
  </si>
  <si>
    <t>LASERCA__Home_Country__c</t>
  </si>
  <si>
    <t>LASERCA__Last_Name__c</t>
  </si>
  <si>
    <t>LASERCA__Request_Credit_Bureau__c</t>
  </si>
  <si>
    <t>LASERCA__SSN_encrypted__c</t>
  </si>
  <si>
    <t>LASERCA__Special_Options__c</t>
  </si>
  <si>
    <t>LASERCA__State_Address__c</t>
  </si>
  <si>
    <t>LASERCA__Street_Address__c</t>
  </si>
  <si>
    <t>LASERCA__Zip_Code_Address__c</t>
  </si>
  <si>
    <t>Amount_Sold__c</t>
  </si>
  <si>
    <t>Additional_Products__c</t>
  </si>
  <si>
    <t>Promo__c</t>
  </si>
  <si>
    <t>CalCAP__c</t>
  </si>
  <si>
    <t>Days_to_Close__c</t>
  </si>
  <si>
    <t>Multi_Disbursement__c</t>
  </si>
  <si>
    <t>Bankruptcy__c</t>
  </si>
  <si>
    <t>Credit_Score__c</t>
  </si>
  <si>
    <t>Date_of_Credit_Score__c</t>
  </si>
  <si>
    <t>Get_Credit_Data_Opportunity__c</t>
  </si>
  <si>
    <t>Total_Revolving_Available_TRA_20_or_l__c</t>
  </si>
  <si>
    <t>Bankruptcy_Image__c</t>
  </si>
  <si>
    <t>Credit_Score_Image__c</t>
  </si>
  <si>
    <t>Total_Revolving_Available_image__c</t>
  </si>
  <si>
    <t>Test_Opp__c</t>
  </si>
  <si>
    <t>Goals2__c</t>
  </si>
  <si>
    <t>Prefill_URL__c</t>
  </si>
  <si>
    <t>Opportunity_URL__c</t>
  </si>
  <si>
    <t>Data_Warehouse_ID__c</t>
  </si>
  <si>
    <t>UserNum</t>
  </si>
  <si>
    <t>UpdateUserNum</t>
  </si>
  <si>
    <t>TransientKey</t>
  </si>
  <si>
    <t>ResidenceType</t>
  </si>
  <si>
    <t>GuarantorQuestion2</t>
  </si>
  <si>
    <t>GuarantorSalutation</t>
  </si>
  <si>
    <t>GuarantorSIC</t>
  </si>
  <si>
    <t>GuarantorSSN</t>
  </si>
  <si>
    <t>GuarantorStateCode</t>
  </si>
  <si>
    <t>GuarantorTitle</t>
  </si>
  <si>
    <t>GuarantorUdef01</t>
  </si>
  <si>
    <t>GuarantorUdef02</t>
  </si>
  <si>
    <t>GuarantorUdef03</t>
  </si>
  <si>
    <t>GuarantorUdef04</t>
  </si>
  <si>
    <t>GuarantorUdef05</t>
  </si>
  <si>
    <t>GuarantorUdef06</t>
  </si>
  <si>
    <t>GuarantorUdef07</t>
  </si>
  <si>
    <t>GuarantorUdef08</t>
  </si>
  <si>
    <t>GuarantorUdef09</t>
  </si>
  <si>
    <t>GuarantorUdef10</t>
  </si>
  <si>
    <t>GuarantorUdefInt1</t>
  </si>
  <si>
    <t>MonthsAtEmployer</t>
  </si>
  <si>
    <t>YearsIndustryExperience</t>
  </si>
  <si>
    <t>ID_BillingHistory</t>
  </si>
  <si>
    <t>SalesForce</t>
  </si>
  <si>
    <t>Description</t>
  </si>
  <si>
    <t>CodeType</t>
  </si>
  <si>
    <t>Code</t>
  </si>
  <si>
    <t>FinanceCompanyName</t>
  </si>
  <si>
    <t>IsDefault</t>
  </si>
  <si>
    <t>IsActive</t>
  </si>
  <si>
    <t>InactiveDate</t>
  </si>
  <si>
    <t>GLSegmentValue</t>
  </si>
  <si>
    <t>Attribute1</t>
  </si>
  <si>
    <t>Attribute2</t>
  </si>
  <si>
    <t>Attribute3</t>
  </si>
  <si>
    <t>Attribute4</t>
  </si>
  <si>
    <t>Attribute5</t>
  </si>
  <si>
    <t>Attribute6</t>
  </si>
  <si>
    <t>Attribute7</t>
  </si>
  <si>
    <t>Attribute8</t>
  </si>
  <si>
    <t>Attribute9</t>
  </si>
  <si>
    <t>Attribute10</t>
  </si>
  <si>
    <t xml:space="preserve"> Code</t>
  </si>
  <si>
    <t xml:space="preserve"> Description</t>
  </si>
  <si>
    <t xml:space="preserve"> FinanceCompanyName</t>
  </si>
  <si>
    <t xml:space="preserve"> IsDefault</t>
  </si>
  <si>
    <t xml:space="preserve"> IsActive</t>
  </si>
  <si>
    <t xml:space="preserve"> InactiveDate</t>
  </si>
  <si>
    <t xml:space="preserve"> GLSegmentValue</t>
  </si>
  <si>
    <t xml:space="preserve"> Attribute1</t>
  </si>
  <si>
    <t xml:space="preserve"> Attribute2</t>
  </si>
  <si>
    <t xml:space="preserve"> Attribute3</t>
  </si>
  <si>
    <t xml:space="preserve"> Attribute4</t>
  </si>
  <si>
    <t xml:space="preserve"> Attribute5</t>
  </si>
  <si>
    <t xml:space="preserve"> Attribute6</t>
  </si>
  <si>
    <t xml:space="preserve"> Attribute7</t>
  </si>
  <si>
    <t xml:space="preserve"> Attribute8</t>
  </si>
  <si>
    <t xml:space="preserve"> Attribute9</t>
  </si>
  <si>
    <t xml:space="preserve"> Attribute10</t>
  </si>
  <si>
    <t>XR-SQL-SERV01</t>
  </si>
  <si>
    <t>DQS_MAIN</t>
  </si>
  <si>
    <t>DQS_PROJECTS</t>
  </si>
  <si>
    <t>DQS_STAGING_DATA</t>
  </si>
  <si>
    <t>XRsMD</t>
  </si>
  <si>
    <t>CrossroadsVision</t>
  </si>
  <si>
    <t>SalesForceUAT</t>
  </si>
  <si>
    <t>abs</t>
  </si>
  <si>
    <t>adhoc</t>
  </si>
  <si>
    <t>cp</t>
  </si>
  <si>
    <t>de</t>
  </si>
  <si>
    <t>dico</t>
  </si>
  <si>
    <t>dqs</t>
  </si>
  <si>
    <t>fe</t>
  </si>
  <si>
    <t>fr</t>
  </si>
  <si>
    <t>gov</t>
  </si>
  <si>
    <t>gps</t>
  </si>
  <si>
    <t>lc</t>
  </si>
  <si>
    <t>loan</t>
  </si>
  <si>
    <t>LTi</t>
  </si>
  <si>
    <t>nada</t>
  </si>
  <si>
    <t>pay</t>
  </si>
  <si>
    <t>pd</t>
  </si>
  <si>
    <t>sbfe</t>
  </si>
  <si>
    <t>SendGrid</t>
  </si>
  <si>
    <t>sfdc</t>
  </si>
  <si>
    <t>vs</t>
  </si>
  <si>
    <t>vtc</t>
  </si>
  <si>
    <t>CA</t>
  </si>
  <si>
    <t>Address</t>
  </si>
  <si>
    <t>Company</t>
  </si>
  <si>
    <t>Company_20210910</t>
  </si>
  <si>
    <t>Company9000</t>
  </si>
  <si>
    <t>Company9000_20210910</t>
  </si>
  <si>
    <t>CompanyDupl</t>
  </si>
  <si>
    <t>CompanyStep1</t>
  </si>
  <si>
    <t>CompanyStep1_BAK</t>
  </si>
  <si>
    <t>CompanyStep2</t>
  </si>
  <si>
    <t>GLAccount</t>
  </si>
  <si>
    <t>KPIRevenue</t>
  </si>
  <si>
    <t>NewApplications</t>
  </si>
  <si>
    <t>PaynetData</t>
  </si>
  <si>
    <t>tApplicationAsset9000</t>
  </si>
  <si>
    <t>tApplicationCollateral</t>
  </si>
  <si>
    <t>tApplicationFee9000</t>
  </si>
  <si>
    <t>tApplicationLndrSubmit</t>
  </si>
  <si>
    <t>tApplicationStatus</t>
  </si>
  <si>
    <t>tApplicationStatusGroup</t>
  </si>
  <si>
    <t>tFwWorkflowStatus</t>
  </si>
  <si>
    <t>tLookup</t>
  </si>
  <si>
    <t>tLookup_20210910</t>
  </si>
  <si>
    <t>txCOMBudget</t>
  </si>
  <si>
    <t>updatedApplication</t>
  </si>
  <si>
    <t>v_Address</t>
  </si>
  <si>
    <t>VIEW</t>
  </si>
  <si>
    <t>v_Application</t>
  </si>
  <si>
    <t>v_ApplicationAssset</t>
  </si>
  <si>
    <t>v_ApplicationCompany</t>
  </si>
  <si>
    <t>v_ApplicationLndrSubmit</t>
  </si>
  <si>
    <t>v_ApplicationPricing</t>
  </si>
  <si>
    <t>v_Company</t>
  </si>
  <si>
    <t>v_Guarantor</t>
  </si>
  <si>
    <t>v_Lookup</t>
  </si>
  <si>
    <t>v_User</t>
  </si>
  <si>
    <t>vAppVendor</t>
  </si>
  <si>
    <t>vvgDealers</t>
  </si>
  <si>
    <t>ID_CompanyStep2</t>
  </si>
  <si>
    <t>int</t>
  </si>
  <si>
    <t>CoName</t>
  </si>
  <si>
    <t>varchar</t>
  </si>
  <si>
    <t>BackOfficeID</t>
  </si>
  <si>
    <t>CoFederalIDNum</t>
  </si>
  <si>
    <t>CoContact</t>
  </si>
  <si>
    <t>CoDBA</t>
  </si>
  <si>
    <t>CoBusinessType</t>
  </si>
  <si>
    <t>CoPhone</t>
  </si>
  <si>
    <t>CoStateIncCode</t>
  </si>
  <si>
    <t>NAICS</t>
  </si>
  <si>
    <t>IsSSN</t>
  </si>
  <si>
    <t>((0))</t>
  </si>
  <si>
    <t>IsEIN</t>
  </si>
  <si>
    <t>LC_ID_CompanyStep1</t>
  </si>
  <si>
    <t>T_CreatedDate</t>
  </si>
  <si>
    <t>datetime</t>
  </si>
  <si>
    <t>T_ModifiedDate</t>
  </si>
  <si>
    <t>T_DeletedDate</t>
  </si>
  <si>
    <t>T_DeletedFlag</t>
  </si>
  <si>
    <t>tinyint</t>
  </si>
  <si>
    <t>ID_CompanyStep3</t>
  </si>
  <si>
    <t>CompanyNum</t>
  </si>
  <si>
    <t>CompanyRelation</t>
  </si>
  <si>
    <t>(A) Tool Shed</t>
  </si>
  <si>
    <t>32182</t>
  </si>
  <si>
    <t>94-2329715</t>
  </si>
  <si>
    <t>INC</t>
  </si>
  <si>
    <t>831-477-7793</t>
  </si>
  <si>
    <t>484110</t>
  </si>
  <si>
    <t>-HN Express</t>
  </si>
  <si>
    <t>52767</t>
  </si>
  <si>
    <t>81-2383293</t>
  </si>
  <si>
    <t>412-419-6500</t>
  </si>
  <si>
    <t>484121</t>
  </si>
  <si>
    <t>007 Express LLC</t>
  </si>
  <si>
    <t>84-4089650</t>
  </si>
  <si>
    <t>LLC</t>
  </si>
  <si>
    <t>818-799-2125</t>
  </si>
  <si>
    <t>068 Trucking LLC</t>
  </si>
  <si>
    <t>19-9542583</t>
  </si>
  <si>
    <t>412-654-7183</t>
  </si>
  <si>
    <t>1 K Transportation LLC</t>
  </si>
  <si>
    <t>81-5004097</t>
  </si>
  <si>
    <t>323-506-0283</t>
  </si>
  <si>
    <t>1 Moore Transport LLC</t>
  </si>
  <si>
    <t>46309</t>
  </si>
  <si>
    <t>47-4674246</t>
  </si>
  <si>
    <t>310-795-8653</t>
  </si>
  <si>
    <t>1 One of a Kind Transportation</t>
  </si>
  <si>
    <t>51150</t>
  </si>
  <si>
    <t>85-1436477</t>
  </si>
  <si>
    <t>424-317-1352</t>
  </si>
  <si>
    <t>1 Up 1 Down Transport LLC</t>
  </si>
  <si>
    <t>52920</t>
  </si>
  <si>
    <t>83-2475214</t>
  </si>
  <si>
    <t>951-500-2412</t>
  </si>
  <si>
    <t>1-312 Logistics Ltd</t>
  </si>
  <si>
    <t>85-2922026</t>
  </si>
  <si>
    <t>847-830-3082</t>
  </si>
  <si>
    <t>14 Stars Trucking</t>
  </si>
  <si>
    <t>42648</t>
  </si>
  <si>
    <t>82-1389568</t>
  </si>
  <si>
    <t>858-344-7957</t>
  </si>
  <si>
    <t>168 Trucking</t>
  </si>
  <si>
    <t>44003</t>
  </si>
  <si>
    <t>27-2163387</t>
  </si>
  <si>
    <t>385-347-2976</t>
  </si>
  <si>
    <t>UT</t>
  </si>
  <si>
    <t>1776 Logistics</t>
  </si>
  <si>
    <t>82-2706258</t>
  </si>
  <si>
    <t>916-254-1779</t>
  </si>
  <si>
    <t>18 Hauls Logistics</t>
  </si>
  <si>
    <t>51991</t>
  </si>
  <si>
    <t>83-3422542</t>
  </si>
  <si>
    <t>559-285-5251</t>
  </si>
  <si>
    <t>18 Wheels Trans</t>
  </si>
  <si>
    <t>85-1005480</t>
  </si>
  <si>
    <t>818-749-2555</t>
  </si>
  <si>
    <t>1954 Manufacturing</t>
  </si>
  <si>
    <t>39866</t>
  </si>
  <si>
    <t>46-4693270</t>
  </si>
  <si>
    <t>940-521-9807</t>
  </si>
  <si>
    <t>TX</t>
  </si>
  <si>
    <t>333120</t>
  </si>
  <si>
    <t>1Falcon Express</t>
  </si>
  <si>
    <t>36-4783092</t>
  </si>
  <si>
    <t>661-805-7820</t>
  </si>
  <si>
    <t>1Nomad Black Line</t>
  </si>
  <si>
    <t>73-6427931</t>
  </si>
  <si>
    <t>347-374-6011</t>
  </si>
  <si>
    <t>1st Chance Furniture &amp; Mattress</t>
  </si>
  <si>
    <t>26-1376863</t>
  </si>
  <si>
    <t>615-512-8714</t>
  </si>
  <si>
    <t>TN</t>
  </si>
  <si>
    <t>423210</t>
  </si>
  <si>
    <t>1st Choice Modular Installation LLC</t>
  </si>
  <si>
    <t>04-3720990</t>
  </si>
  <si>
    <t>Jesse Tellez</t>
  </si>
  <si>
    <t>714-979-9788</t>
  </si>
  <si>
    <t>1st Syndicate Transport LLC</t>
  </si>
  <si>
    <t>48554</t>
  </si>
  <si>
    <t>46-5193958</t>
  </si>
  <si>
    <t>281-622-4011</t>
  </si>
  <si>
    <t>2 A Pilot Cars</t>
  </si>
  <si>
    <t>38-8880495</t>
  </si>
  <si>
    <t>PRO</t>
  </si>
  <si>
    <t>817-676-1804</t>
  </si>
  <si>
    <t>2 for 1 Trucking</t>
  </si>
  <si>
    <t>83-4671941</t>
  </si>
  <si>
    <t>323-441-5253</t>
  </si>
  <si>
    <t>2 Golden</t>
  </si>
  <si>
    <t>83-3994864</t>
  </si>
  <si>
    <t>626-512-0629</t>
  </si>
  <si>
    <t>2 Hoots Transportation</t>
  </si>
  <si>
    <t>81-3289200</t>
  </si>
  <si>
    <t>502-566-4591</t>
  </si>
  <si>
    <t>2 Horizon Trucking</t>
  </si>
  <si>
    <t>81-0808573</t>
  </si>
  <si>
    <t>PAR</t>
  </si>
  <si>
    <t>740-645-0718</t>
  </si>
  <si>
    <t>2 King's Trucking LLC</t>
  </si>
  <si>
    <t>42880</t>
  </si>
  <si>
    <t>83-3792763</t>
  </si>
  <si>
    <t>951-634-6710</t>
  </si>
  <si>
    <t>2 Terry's Trucking LLC</t>
  </si>
  <si>
    <t>52678-52678</t>
  </si>
  <si>
    <t>56-5773872</t>
  </si>
  <si>
    <t>LLCLLC</t>
  </si>
  <si>
    <t>909-733-7953 - 909-733-7953</t>
  </si>
  <si>
    <t>CA-CA</t>
  </si>
  <si>
    <t>484121-484121</t>
  </si>
  <si>
    <t>203K Logistics LLC</t>
  </si>
  <si>
    <t>50344</t>
  </si>
  <si>
    <t>85-0637658</t>
  </si>
  <si>
    <t>323-493-6424</t>
  </si>
  <si>
    <t>208 Freight LLC</t>
  </si>
  <si>
    <t>83-2133795</t>
  </si>
  <si>
    <t>208-521-0400</t>
  </si>
  <si>
    <t>20RK</t>
  </si>
  <si>
    <t>83-1048637</t>
  </si>
  <si>
    <t>614-973-0614</t>
  </si>
  <si>
    <t>21 Express</t>
  </si>
  <si>
    <t>47892</t>
  </si>
  <si>
    <t>47-4400492</t>
  </si>
  <si>
    <t>917-520-3808</t>
  </si>
  <si>
    <t>IL</t>
  </si>
  <si>
    <t>484122</t>
  </si>
  <si>
    <t>21 Trucking</t>
  </si>
  <si>
    <t>43586</t>
  </si>
  <si>
    <t>81-5485351</t>
  </si>
  <si>
    <t>626-652-5279</t>
  </si>
  <si>
    <t>215 Trucking</t>
  </si>
  <si>
    <t>61-1771208</t>
  </si>
  <si>
    <t>626-215-5311</t>
  </si>
  <si>
    <t>22G Logistics</t>
  </si>
  <si>
    <t>46004</t>
  </si>
  <si>
    <t>84-2156767</t>
  </si>
  <si>
    <t>408-500-6244</t>
  </si>
  <si>
    <t>22G Trucking</t>
  </si>
  <si>
    <t>45814</t>
  </si>
  <si>
    <t>84-1955430</t>
  </si>
  <si>
    <t>707-890-2625</t>
  </si>
  <si>
    <t>2372 Investment Company LLC</t>
  </si>
  <si>
    <t>34843</t>
  </si>
  <si>
    <t>26-0887604</t>
  </si>
  <si>
    <t>714-685-3462</t>
  </si>
  <si>
    <t>531120</t>
  </si>
  <si>
    <t>24 Hr Solutions Pallets</t>
  </si>
  <si>
    <t>27-3013736</t>
  </si>
  <si>
    <t>909-717-7726</t>
  </si>
  <si>
    <t>24 Seven Pro</t>
  </si>
  <si>
    <t>20-8634023</t>
  </si>
  <si>
    <t>24 Seven Productions</t>
  </si>
  <si>
    <t>702-731-2470</t>
  </si>
  <si>
    <t>NV</t>
  </si>
  <si>
    <t>532299</t>
  </si>
  <si>
    <t>24-7 Express Group</t>
  </si>
  <si>
    <t>82-2925657</t>
  </si>
  <si>
    <t>424-303-8901</t>
  </si>
  <si>
    <t>24/7 Transport</t>
  </si>
  <si>
    <t>47-2574367</t>
  </si>
  <si>
    <t>582-440-2798</t>
  </si>
  <si>
    <t>24/7 Tranz</t>
  </si>
  <si>
    <t>81-2274567</t>
  </si>
  <si>
    <t>323-672-6786</t>
  </si>
  <si>
    <t>24k Transportation</t>
  </si>
  <si>
    <t>84-5002635</t>
  </si>
  <si>
    <t>972-214-5607</t>
  </si>
  <si>
    <t>24WestLLC</t>
  </si>
  <si>
    <t>85-1242104</t>
  </si>
  <si>
    <t>404-402-9633</t>
  </si>
  <si>
    <t>GA</t>
  </si>
  <si>
    <t>254 LLC</t>
  </si>
  <si>
    <t>84-2810633</t>
  </si>
  <si>
    <t>913-563-0397</t>
  </si>
  <si>
    <t>MN</t>
  </si>
  <si>
    <t>2926 Express</t>
  </si>
  <si>
    <t>27-1330020</t>
  </si>
  <si>
    <t>Vladimir Rodriguez</t>
  </si>
  <si>
    <t>786-390-1578</t>
  </si>
  <si>
    <t>FL</t>
  </si>
  <si>
    <t>2A Trucking LLC</t>
  </si>
  <si>
    <t>84-2815492</t>
  </si>
  <si>
    <t>801-557-0087</t>
  </si>
  <si>
    <t>2J Brown Endeavors</t>
  </si>
  <si>
    <t>82-4470643</t>
  </si>
  <si>
    <t>909-242-6951</t>
  </si>
  <si>
    <t>2R Drilling</t>
  </si>
  <si>
    <t>95-3331594</t>
  </si>
  <si>
    <t>909-730-2161</t>
  </si>
  <si>
    <t>2R Logistics LLC</t>
  </si>
  <si>
    <t>83-3309967</t>
  </si>
  <si>
    <t>909-530-5941</t>
  </si>
  <si>
    <t>2T Logistics LLC</t>
  </si>
  <si>
    <t>83-1122470</t>
  </si>
  <si>
    <t>206-421-8747</t>
  </si>
  <si>
    <t>3 &amp; 1 Transport</t>
  </si>
  <si>
    <t>33202</t>
  </si>
  <si>
    <t>20-4277812</t>
  </si>
  <si>
    <t>323-704-5366</t>
  </si>
  <si>
    <t>3 Angels RGV Trucking LLC</t>
  </si>
  <si>
    <t>85-0873526</t>
  </si>
  <si>
    <t>956-400-7000</t>
  </si>
  <si>
    <t>3 Arrows</t>
  </si>
  <si>
    <t>48795</t>
  </si>
  <si>
    <t>84-3912543</t>
  </si>
  <si>
    <t>559-290-9200</t>
  </si>
  <si>
    <t>3 Brothers Transport LLC</t>
  </si>
  <si>
    <t>50488</t>
  </si>
  <si>
    <t>84-2389345</t>
  </si>
  <si>
    <t>651-447-9391</t>
  </si>
  <si>
    <t>3 Brothers Trucking LLC</t>
  </si>
  <si>
    <t>48521</t>
  </si>
  <si>
    <t>85-1616026</t>
  </si>
  <si>
    <t>661-408-2444</t>
  </si>
  <si>
    <t>3 DDD's Trucking LLC</t>
  </si>
  <si>
    <t>84-4139878</t>
  </si>
  <si>
    <t>323-376-4337</t>
  </si>
  <si>
    <t>3 Filly's Trucking LLC</t>
  </si>
  <si>
    <t>41557</t>
  </si>
  <si>
    <t>82-2194376</t>
  </si>
  <si>
    <t>213-550-6040</t>
  </si>
  <si>
    <t>3 G Farm Labor</t>
  </si>
  <si>
    <t>81-4183321</t>
  </si>
  <si>
    <t>661-667-7738</t>
  </si>
  <si>
    <t>3 GGG's Truck Lines</t>
  </si>
  <si>
    <t>45-5294337</t>
  </si>
  <si>
    <t>310-493-0254</t>
  </si>
  <si>
    <t>3 Klean Production LLC</t>
  </si>
  <si>
    <t>84-2227843</t>
  </si>
  <si>
    <t>336-624-4991</t>
  </si>
  <si>
    <t>NC</t>
  </si>
  <si>
    <t>3 Lines Trans LLC</t>
  </si>
  <si>
    <t>46383</t>
  </si>
  <si>
    <t>84-2625892</t>
  </si>
  <si>
    <t>214-770-1715</t>
  </si>
  <si>
    <t>3 XL</t>
  </si>
  <si>
    <t>26-1729135</t>
  </si>
  <si>
    <t>801-710-5995</t>
  </si>
  <si>
    <t>484220</t>
  </si>
  <si>
    <t>300 Transport LLC</t>
  </si>
  <si>
    <t>85-0935646</t>
  </si>
  <si>
    <t>347-367-8421</t>
  </si>
  <si>
    <t>337 Grips</t>
  </si>
  <si>
    <t>47-3263441</t>
  </si>
  <si>
    <t>818-470-8397</t>
  </si>
  <si>
    <t>335129</t>
  </si>
  <si>
    <t>3399 Cab Corp</t>
  </si>
  <si>
    <t>20-3614108</t>
  </si>
  <si>
    <t>224-578-1061</t>
  </si>
  <si>
    <t>3531 Trucking</t>
  </si>
  <si>
    <t>37678</t>
  </si>
  <si>
    <t>47-2455921</t>
  </si>
  <si>
    <t>626-644-6221</t>
  </si>
  <si>
    <t>360 Carrier LLC</t>
  </si>
  <si>
    <t>46-3932401</t>
  </si>
  <si>
    <t>936-520-8582</t>
  </si>
  <si>
    <t>360 Transpo</t>
  </si>
  <si>
    <t>84-2770848</t>
  </si>
  <si>
    <t>310-920-0733</t>
  </si>
  <si>
    <t>365 Trucking LLC</t>
  </si>
  <si>
    <t>86-3589516</t>
  </si>
  <si>
    <t>323-497-2882</t>
  </si>
  <si>
    <t>3B Logistics</t>
  </si>
  <si>
    <t>87-1068873</t>
  </si>
  <si>
    <t>503-406-5909</t>
  </si>
  <si>
    <t>3B's Transportation &amp; Automotive Services</t>
  </si>
  <si>
    <t>01-0779021</t>
  </si>
  <si>
    <t>623-330-7801</t>
  </si>
  <si>
    <t>3C &amp; M Services LLC</t>
  </si>
  <si>
    <t>82-3771798</t>
  </si>
  <si>
    <t>361-935-3627</t>
  </si>
  <si>
    <t>3D Corporation</t>
  </si>
  <si>
    <t>46596</t>
  </si>
  <si>
    <t>84-1927552</t>
  </si>
  <si>
    <t>619-661-8296</t>
  </si>
  <si>
    <t>423450</t>
  </si>
  <si>
    <t>3GMS Trucking</t>
  </si>
  <si>
    <t>43043</t>
  </si>
  <si>
    <t>83-2225483</t>
  </si>
  <si>
    <t>951-514-0965</t>
  </si>
  <si>
    <t>3MZ Transport LLC</t>
  </si>
  <si>
    <t>81-0804442</t>
  </si>
  <si>
    <t>503-758-7839</t>
  </si>
  <si>
    <t>3Plus Logistics Co</t>
  </si>
  <si>
    <t>51-0514809</t>
  </si>
  <si>
    <t>John Kim</t>
  </si>
  <si>
    <t>310-667-5160</t>
  </si>
  <si>
    <t>3Power Logistics Management</t>
  </si>
  <si>
    <t>81-3690693</t>
  </si>
  <si>
    <t>909-262-6273</t>
  </si>
  <si>
    <t>3rd Generational Trucking LLC</t>
  </si>
  <si>
    <t>85-3220837</t>
  </si>
  <si>
    <t>480-862-2273</t>
  </si>
  <si>
    <t>3RGTrucking LLC</t>
  </si>
  <si>
    <t>52-2931480</t>
  </si>
  <si>
    <t>442-615-0210</t>
  </si>
  <si>
    <t>3S Trucking</t>
  </si>
  <si>
    <t>83-2337073</t>
  </si>
  <si>
    <t>530-740-2707</t>
  </si>
  <si>
    <t>3Sixty Innovation</t>
  </si>
  <si>
    <t>53266</t>
  </si>
  <si>
    <t>83-2865837</t>
  </si>
  <si>
    <t>858-304-1093</t>
  </si>
  <si>
    <t>3T Holding</t>
  </si>
  <si>
    <t>26-1946741</t>
  </si>
  <si>
    <t>Haiyan Tang</t>
  </si>
  <si>
    <t>310-608-5188</t>
  </si>
  <si>
    <t>3Ten Transport LLC</t>
  </si>
  <si>
    <t>85-2524238</t>
  </si>
  <si>
    <t>310-848-0041</t>
  </si>
  <si>
    <t>4 A Equipment LLC</t>
  </si>
  <si>
    <t>36-1215881</t>
  </si>
  <si>
    <t>480-651-3800</t>
  </si>
  <si>
    <t>AB</t>
  </si>
  <si>
    <t>4 A's Cargo</t>
  </si>
  <si>
    <t>86-1148282</t>
  </si>
  <si>
    <t>310-841-1818</t>
  </si>
  <si>
    <t>4 Aces Investment</t>
  </si>
  <si>
    <t>68-0600630</t>
  </si>
  <si>
    <t>562-425-8101</t>
  </si>
  <si>
    <t>4 G Carrier</t>
  </si>
  <si>
    <t>82-0691572</t>
  </si>
  <si>
    <t>909-226-3998</t>
  </si>
  <si>
    <t>4 H Litter Services LLC</t>
  </si>
  <si>
    <t>27-0376681</t>
  </si>
  <si>
    <t>903-503-1665</t>
  </si>
  <si>
    <t>4 Leones Transportation</t>
  </si>
  <si>
    <t>40050</t>
  </si>
  <si>
    <t>47-5188115</t>
  </si>
  <si>
    <t>818-850-9062</t>
  </si>
  <si>
    <t>4 LILLYS TRANSPORT</t>
  </si>
  <si>
    <t>81-3835698</t>
  </si>
  <si>
    <t>310-940-6080</t>
  </si>
  <si>
    <t>4 Point Fuel Transport</t>
  </si>
  <si>
    <t>47-1191022</t>
  </si>
  <si>
    <t>323-947-8200</t>
  </si>
  <si>
    <t>4 Roads Transport</t>
  </si>
  <si>
    <t>83-2038679</t>
  </si>
  <si>
    <t>915-703-9138</t>
  </si>
  <si>
    <t>4 Son's Trucking</t>
  </si>
  <si>
    <t>84-2807732</t>
  </si>
  <si>
    <t>760-679-4217</t>
  </si>
  <si>
    <t>4 Stone</t>
  </si>
  <si>
    <t>52486</t>
  </si>
  <si>
    <t>83-2956343</t>
  </si>
  <si>
    <t>317-306-5289</t>
  </si>
  <si>
    <t>IN</t>
  </si>
  <si>
    <t>4 Warriors Hydro Excavation LLC</t>
  </si>
  <si>
    <t>47-3646096</t>
  </si>
  <si>
    <t>210-268-7102</t>
  </si>
  <si>
    <t>4 Way Connection Transport</t>
  </si>
  <si>
    <t>84-3052875</t>
  </si>
  <si>
    <t>831-241-0527</t>
  </si>
  <si>
    <t>4 Way Pool Excavation</t>
  </si>
  <si>
    <t>81-4604251</t>
  </si>
  <si>
    <t>760-945-6334</t>
  </si>
  <si>
    <t>4 Way Transport</t>
  </si>
  <si>
    <t>34510</t>
  </si>
  <si>
    <t>46-0645775</t>
  </si>
  <si>
    <t>760-486-8022</t>
  </si>
  <si>
    <t>4-D Farms LLC</t>
  </si>
  <si>
    <t>71-0892241</t>
  </si>
  <si>
    <t>936-488-1107</t>
  </si>
  <si>
    <t>4020 Trucking LLC</t>
  </si>
  <si>
    <t>82-1201126</t>
  </si>
  <si>
    <t>480-662-5412</t>
  </si>
  <si>
    <t>AZ</t>
  </si>
  <si>
    <t>442 Trinity Xpress LLC</t>
  </si>
  <si>
    <t>83-1941304</t>
  </si>
  <si>
    <t>442-218-4008</t>
  </si>
  <si>
    <t>45 Express</t>
  </si>
  <si>
    <t>60-7169743</t>
  </si>
  <si>
    <t>626-513-9251</t>
  </si>
  <si>
    <t>4Block Transport LLC</t>
  </si>
  <si>
    <t>39573</t>
  </si>
  <si>
    <t>47-1833110</t>
  </si>
  <si>
    <t>323-743-7058</t>
  </si>
  <si>
    <t>4C Expedited</t>
  </si>
  <si>
    <t>47-4485682</t>
  </si>
  <si>
    <t>202-262-5522</t>
  </si>
  <si>
    <t>4G Transport LLC</t>
  </si>
  <si>
    <t>35257</t>
  </si>
  <si>
    <t>90-1036399</t>
  </si>
  <si>
    <t>951-533-5558</t>
  </si>
  <si>
    <t>4L Logistics</t>
  </si>
  <si>
    <t>46-5719917</t>
  </si>
  <si>
    <t>626-343-5910</t>
  </si>
  <si>
    <t>4Seven Universal Truck Lines</t>
  </si>
  <si>
    <t>49279</t>
  </si>
  <si>
    <t>85-1361171</t>
  </si>
  <si>
    <t>559-513-5896</t>
  </si>
  <si>
    <t>4T Cattle Company LLC</t>
  </si>
  <si>
    <t>47-1234862</t>
  </si>
  <si>
    <t>4T Cattle &amp; Land Company LLC</t>
  </si>
  <si>
    <t>817-559-5770</t>
  </si>
  <si>
    <t>4th St Recycling</t>
  </si>
  <si>
    <t>37-1612980</t>
  </si>
  <si>
    <t>323-204-8308</t>
  </si>
  <si>
    <t>4Today Transport</t>
  </si>
  <si>
    <t>47-1477560</t>
  </si>
  <si>
    <t>330-472-6937</t>
  </si>
  <si>
    <t>4W Trucking LLC</t>
  </si>
  <si>
    <t>84-5009683</t>
  </si>
  <si>
    <t>425-919-7817</t>
  </si>
  <si>
    <t>WA</t>
  </si>
  <si>
    <t>4Way Freight Transport</t>
  </si>
  <si>
    <t>37196</t>
  </si>
  <si>
    <t>47-4559639</t>
  </si>
  <si>
    <t>951-490-3457</t>
  </si>
  <si>
    <t>4XL Group Corporation</t>
  </si>
  <si>
    <t>83-0559985</t>
  </si>
  <si>
    <t>559-470-1168</t>
  </si>
  <si>
    <t>5 CCS Trucking Company</t>
  </si>
  <si>
    <t>61-1598239</t>
  </si>
  <si>
    <t>818-447-7513</t>
  </si>
  <si>
    <t>5 J's Express LLC</t>
  </si>
  <si>
    <t>39907</t>
  </si>
  <si>
    <t>45-3021558</t>
  </si>
  <si>
    <t>480-392-3851</t>
  </si>
  <si>
    <t>5 River Hauler</t>
  </si>
  <si>
    <t>84-2156252</t>
  </si>
  <si>
    <t>559-301-7256</t>
  </si>
  <si>
    <t>5 Star Pool Plaster</t>
  </si>
  <si>
    <t>26-1690688</t>
  </si>
  <si>
    <t>925-606-1812</t>
  </si>
  <si>
    <t>5 Starr Solutions</t>
  </si>
  <si>
    <t>39504</t>
  </si>
  <si>
    <t>72-5000038</t>
  </si>
  <si>
    <t>FS LGX Inc</t>
  </si>
  <si>
    <t>940-282-7250</t>
  </si>
  <si>
    <t>DE</t>
  </si>
  <si>
    <t>5 Stars Logistics</t>
  </si>
  <si>
    <t>52233</t>
  </si>
  <si>
    <t>86-2424538</t>
  </si>
  <si>
    <t>951-201-3732</t>
  </si>
  <si>
    <t>501 Trucking</t>
  </si>
  <si>
    <t>46-3502959</t>
  </si>
  <si>
    <t>323-513-7269</t>
  </si>
  <si>
    <t>5150 Heavy Haul LLC</t>
  </si>
  <si>
    <t>44733</t>
  </si>
  <si>
    <t>47-1292803</t>
  </si>
  <si>
    <t>970-749-0643</t>
  </si>
  <si>
    <t>CO</t>
  </si>
  <si>
    <t>53 Transportation</t>
  </si>
  <si>
    <t>48-3040850</t>
  </si>
  <si>
    <t>845-475-1994</t>
  </si>
  <si>
    <t>5AAB Truckers</t>
  </si>
  <si>
    <t>86-2277390</t>
  </si>
  <si>
    <t>510-361-7501</t>
  </si>
  <si>
    <t>5AB09 Transport</t>
  </si>
  <si>
    <t>86-2531179</t>
  </si>
  <si>
    <t>626-461-2257</t>
  </si>
  <si>
    <t>5D Cargo Express</t>
  </si>
  <si>
    <t>81-5132839</t>
  </si>
  <si>
    <t>956-777-0401</t>
  </si>
  <si>
    <t>5G Express LLC</t>
  </si>
  <si>
    <t>47-4222860</t>
  </si>
  <si>
    <t>800-725-0335</t>
  </si>
  <si>
    <t>6 Brothers Trucking</t>
  </si>
  <si>
    <t>47-3255983</t>
  </si>
  <si>
    <t>323-304-0572</t>
  </si>
  <si>
    <t>6 Shot Trucking LLC</t>
  </si>
  <si>
    <t>85-2709875</t>
  </si>
  <si>
    <t>773-827-8648</t>
  </si>
  <si>
    <t>637 Trucking LLC</t>
  </si>
  <si>
    <t>43997</t>
  </si>
  <si>
    <t>84-2921841</t>
  </si>
  <si>
    <t>919-641-0882</t>
  </si>
  <si>
    <t>64 Transport LLC</t>
  </si>
  <si>
    <t>81-2078067</t>
  </si>
  <si>
    <t>201-366-4813</t>
  </si>
  <si>
    <t>NJ</t>
  </si>
  <si>
    <t>66 Trucking</t>
  </si>
  <si>
    <t>47819</t>
  </si>
  <si>
    <t>84-4553480</t>
  </si>
  <si>
    <t>626-673-5133</t>
  </si>
  <si>
    <t>661 Generators LLC</t>
  </si>
  <si>
    <t>45315</t>
  </si>
  <si>
    <t>82-5082468</t>
  </si>
  <si>
    <t>661-312-1891</t>
  </si>
  <si>
    <t>67 Hauling LLC</t>
  </si>
  <si>
    <t>49910</t>
  </si>
  <si>
    <t>85-4056777</t>
  </si>
  <si>
    <t>415-940-4718</t>
  </si>
  <si>
    <t>6803 Firmament LLC</t>
  </si>
  <si>
    <t>81-2133200</t>
  </si>
  <si>
    <t>818-430-4414</t>
  </si>
  <si>
    <t>7 Brothers Trucking</t>
  </si>
  <si>
    <t>61-8263156</t>
  </si>
  <si>
    <t>310-936-9322</t>
  </si>
  <si>
    <t>7 Mile Transportation</t>
  </si>
  <si>
    <t>47-4392647</t>
  </si>
  <si>
    <t>213-924-4474</t>
  </si>
  <si>
    <t>7 O'Clock LLC</t>
  </si>
  <si>
    <t>46-5380073</t>
  </si>
  <si>
    <t>208-297-3161</t>
  </si>
  <si>
    <t>ID</t>
  </si>
  <si>
    <t>7 Seals Transport</t>
  </si>
  <si>
    <t>49-1989998</t>
  </si>
  <si>
    <t>928-271-4988</t>
  </si>
  <si>
    <t>7 Star Trucking LLC</t>
  </si>
  <si>
    <t>82-5442423</t>
  </si>
  <si>
    <t>517-499-4883</t>
  </si>
  <si>
    <t>7-4 USA Trucking LLC</t>
  </si>
  <si>
    <t>51181</t>
  </si>
  <si>
    <t>83-1274980</t>
  </si>
  <si>
    <t>480-274-6000</t>
  </si>
  <si>
    <t>707 Transportation</t>
  </si>
  <si>
    <t>85-1233190</t>
  </si>
  <si>
    <t>747-272-6545</t>
  </si>
  <si>
    <t>721 Transport LLC</t>
  </si>
  <si>
    <t>81-1899676</t>
  </si>
  <si>
    <t>310-697-9009</t>
  </si>
  <si>
    <t>747 Logistics LLC</t>
  </si>
  <si>
    <t>83-3023803</t>
  </si>
  <si>
    <t>470-898-7953</t>
  </si>
  <si>
    <t>777 Logistics LLC</t>
  </si>
  <si>
    <t>86-1581340</t>
  </si>
  <si>
    <t>619-599-4594</t>
  </si>
  <si>
    <t>777 Towing</t>
  </si>
  <si>
    <t>45-4345981</t>
  </si>
  <si>
    <t>702-724-9000</t>
  </si>
  <si>
    <t>8 Seconds Transportation LLC</t>
  </si>
  <si>
    <t>46-3151826</t>
  </si>
  <si>
    <t>520-373-2312</t>
  </si>
  <si>
    <t>800 Trucking LLC</t>
  </si>
  <si>
    <t>16-3724510</t>
  </si>
  <si>
    <t>412-682-9539</t>
  </si>
  <si>
    <t>805 Transport</t>
  </si>
  <si>
    <t>82-3322133</t>
  </si>
  <si>
    <t>877-981-1933</t>
  </si>
  <si>
    <t>809 Transport Corporation</t>
  </si>
  <si>
    <t>82-3811120</t>
  </si>
  <si>
    <t>646-807-5283</t>
  </si>
  <si>
    <t>PA</t>
  </si>
  <si>
    <t>84 Transport LLC</t>
  </si>
  <si>
    <t>83-1392227</t>
  </si>
  <si>
    <t>315-450-3612</t>
  </si>
  <si>
    <t>850 Roll Off</t>
  </si>
  <si>
    <t>83-2714915</t>
  </si>
  <si>
    <t>850-819-1350</t>
  </si>
  <si>
    <t>88 Royal Trucking LLC</t>
  </si>
  <si>
    <t>81-4109980</t>
  </si>
  <si>
    <t>626-540-9353</t>
  </si>
  <si>
    <t>88 Transport LLC</t>
  </si>
  <si>
    <t>85-4231230</t>
  </si>
  <si>
    <t>208-996-3338</t>
  </si>
  <si>
    <t>888 Enterprises LLC</t>
  </si>
  <si>
    <t>46-1991374</t>
  </si>
  <si>
    <t>816-500-4017</t>
  </si>
  <si>
    <t>9 Mile Transport LLC</t>
  </si>
  <si>
    <t>84-4399172</t>
  </si>
  <si>
    <t>214-397-9987</t>
  </si>
  <si>
    <t>92FOX TRANSPORTS LLC</t>
  </si>
  <si>
    <t>84-2567067</t>
  </si>
  <si>
    <t>951-238-8709</t>
  </si>
  <si>
    <t>95 Trucking LLC</t>
  </si>
  <si>
    <t>81-2500321</t>
  </si>
  <si>
    <t>559-313-6578</t>
  </si>
  <si>
    <t>96 Ocean</t>
  </si>
  <si>
    <t>83-4463488</t>
  </si>
  <si>
    <t>628-288-2888</t>
  </si>
  <si>
    <t>96 Trucking LLC</t>
  </si>
  <si>
    <t>82-1027711</t>
  </si>
  <si>
    <t>970-776-0450</t>
  </si>
  <si>
    <t>98 Enterprise LLC</t>
  </si>
  <si>
    <t>45-2406909</t>
  </si>
  <si>
    <t>323-434-0618</t>
  </si>
  <si>
    <t>99 Star</t>
  </si>
  <si>
    <t>46-5561893</t>
  </si>
  <si>
    <t>619-847-8545</t>
  </si>
  <si>
    <t>A &amp; A Carrier</t>
  </si>
  <si>
    <t>81-4623279</t>
  </si>
  <si>
    <t>559-840-0862</t>
  </si>
  <si>
    <t>A &amp; A Construction Services</t>
  </si>
  <si>
    <t>45-2609982</t>
  </si>
  <si>
    <t>760-578-5121</t>
  </si>
  <si>
    <t>A &amp; A Transportation</t>
  </si>
  <si>
    <t>46-2965390</t>
  </si>
  <si>
    <t>951-235-2143</t>
  </si>
  <si>
    <t>A &amp; A Trucking</t>
  </si>
  <si>
    <t>86-2661710</t>
  </si>
  <si>
    <t>559-312-5983</t>
  </si>
  <si>
    <t>A &amp; B Transportation</t>
  </si>
  <si>
    <t>47197</t>
  </si>
  <si>
    <t>37-1869700</t>
  </si>
  <si>
    <t>909-578-8420</t>
  </si>
  <si>
    <t>A &amp; C Spegel Trucking LLC</t>
  </si>
  <si>
    <t>76-0828594</t>
  </si>
  <si>
    <t>602-507-0142</t>
  </si>
  <si>
    <t>A &amp; D Carrier</t>
  </si>
  <si>
    <t>40015-40015</t>
  </si>
  <si>
    <t>14-1138895</t>
  </si>
  <si>
    <t>CORCOR</t>
  </si>
  <si>
    <t>312-878-0718 - 312-878-0718</t>
  </si>
  <si>
    <t>IL-IL</t>
  </si>
  <si>
    <t>A &amp; D Handal Enterprises LLC</t>
  </si>
  <si>
    <t>46-3285412</t>
  </si>
  <si>
    <t>956-529-2897</t>
  </si>
  <si>
    <t>A &amp; D Trucklines</t>
  </si>
  <si>
    <t>45289</t>
  </si>
  <si>
    <t>84-2237398</t>
  </si>
  <si>
    <t>559-230-9676</t>
  </si>
  <si>
    <t>A &amp; E Kazak LLC</t>
  </si>
  <si>
    <t>84-4527534</t>
  </si>
  <si>
    <t>313-392-3108</t>
  </si>
  <si>
    <t>A &amp; E Rodriguez LLC</t>
  </si>
  <si>
    <t>83-2656129</t>
  </si>
  <si>
    <t>209-462-2832</t>
  </si>
  <si>
    <t>A &amp; EM Transportation</t>
  </si>
  <si>
    <t>81-1414861</t>
  </si>
  <si>
    <t>951-840-6957</t>
  </si>
  <si>
    <t>A &amp; F Logistics LLC</t>
  </si>
  <si>
    <t>85-2399227</t>
  </si>
  <si>
    <t>702-927-9088</t>
  </si>
  <si>
    <t>A &amp; G Cargo</t>
  </si>
  <si>
    <t>50160</t>
  </si>
  <si>
    <t>30-1232364</t>
  </si>
  <si>
    <t>661-332-8647</t>
  </si>
  <si>
    <t>A &amp; G Transportation LLC</t>
  </si>
  <si>
    <t>43305-43305</t>
  </si>
  <si>
    <t>55-9291543</t>
  </si>
  <si>
    <t>702-236-5202 - 702-236-5202</t>
  </si>
  <si>
    <t>NV-NV</t>
  </si>
  <si>
    <t>484110-484110</t>
  </si>
  <si>
    <t>A &amp; H Brokerage Services</t>
  </si>
  <si>
    <t>82-1787489</t>
  </si>
  <si>
    <t>818-293-3003</t>
  </si>
  <si>
    <t>A &amp; H Freight Company</t>
  </si>
  <si>
    <t>31693</t>
  </si>
  <si>
    <t>90-0918613</t>
  </si>
  <si>
    <t>562-696-4736</t>
  </si>
  <si>
    <t>A &amp; H Truckline</t>
  </si>
  <si>
    <t>47471</t>
  </si>
  <si>
    <t>84-4635707</t>
  </si>
  <si>
    <t>530-617-2407</t>
  </si>
  <si>
    <t>A &amp; I Express</t>
  </si>
  <si>
    <t>72-1561510</t>
  </si>
  <si>
    <t>831-763-7805</t>
  </si>
  <si>
    <t>A &amp; I Transport</t>
  </si>
  <si>
    <t>72-1561512</t>
  </si>
  <si>
    <t>A &amp; J Smart Business</t>
  </si>
  <si>
    <t>36285</t>
  </si>
  <si>
    <t>47-5359278</t>
  </si>
  <si>
    <t>310-686-6587</t>
  </si>
  <si>
    <t>A &amp; J Trucking LLC</t>
  </si>
  <si>
    <t>80-0701536</t>
  </si>
  <si>
    <t>209-751-7252</t>
  </si>
  <si>
    <t>A &amp; K Enterprises of WNC</t>
  </si>
  <si>
    <t>33635</t>
  </si>
  <si>
    <t>54-2157025</t>
  </si>
  <si>
    <t>828-674-8512</t>
  </si>
  <si>
    <t>A &amp; L Logistics LLC</t>
  </si>
  <si>
    <t>83-1399527</t>
  </si>
  <si>
    <t>602-710-5305</t>
  </si>
  <si>
    <t>A &amp; L Transportation</t>
  </si>
  <si>
    <t>35266</t>
  </si>
  <si>
    <t>46-3551428</t>
  </si>
  <si>
    <t>209-810-1636</t>
  </si>
  <si>
    <t>A &amp; L Transportation Services LLC</t>
  </si>
  <si>
    <t>41835</t>
  </si>
  <si>
    <t>47-1833802</t>
  </si>
  <si>
    <t>520-979-0211</t>
  </si>
  <si>
    <t>A &amp; M American Express</t>
  </si>
  <si>
    <t>46-0997133</t>
  </si>
  <si>
    <t>818-319-3418</t>
  </si>
  <si>
    <t>A &amp; M Transport Ohio LLC</t>
  </si>
  <si>
    <t>83-4253988</t>
  </si>
  <si>
    <t>909-642-0507</t>
  </si>
  <si>
    <t>A &amp; M Trucking</t>
  </si>
  <si>
    <t>20-2597958</t>
  </si>
  <si>
    <t>310-466-6472</t>
  </si>
  <si>
    <t>A &amp; N Quality Builders</t>
  </si>
  <si>
    <t>46010</t>
  </si>
  <si>
    <t>47-2888748</t>
  </si>
  <si>
    <t>760-337-9488</t>
  </si>
  <si>
    <t>A &amp; N Trucking</t>
  </si>
  <si>
    <t>26-2050218</t>
  </si>
  <si>
    <t>323-816-8327</t>
  </si>
  <si>
    <t>A &amp; O Truck Rental</t>
  </si>
  <si>
    <t>84-4886065</t>
  </si>
  <si>
    <t>760-391-3435</t>
  </si>
  <si>
    <t>A &amp; P Transportation</t>
  </si>
  <si>
    <t>23486</t>
  </si>
  <si>
    <t>45-4305420</t>
  </si>
  <si>
    <t>Abigail Padilla</t>
  </si>
  <si>
    <t>562-755-1252</t>
  </si>
  <si>
    <t>A &amp; P Trucking Freight Systems</t>
  </si>
  <si>
    <t>23507</t>
  </si>
  <si>
    <t>20-3853535</t>
  </si>
  <si>
    <t>Jesus Alvarado</t>
  </si>
  <si>
    <t>323-622-1970</t>
  </si>
  <si>
    <t>A &amp; S Brothers</t>
  </si>
  <si>
    <t>81-1972356</t>
  </si>
  <si>
    <t>Global Cargo</t>
  </si>
  <si>
    <t>805-746-4572</t>
  </si>
  <si>
    <t>A &amp; S Equipment Leasing LLC</t>
  </si>
  <si>
    <t>20-4369706</t>
  </si>
  <si>
    <t>626-652-3006</t>
  </si>
  <si>
    <t>A &amp; S Transport Express</t>
  </si>
  <si>
    <t>45-4867253</t>
  </si>
  <si>
    <t>209-675-5122</t>
  </si>
  <si>
    <t>A &amp; S Transportation</t>
  </si>
  <si>
    <t>34854</t>
  </si>
  <si>
    <t>20-1800772</t>
  </si>
  <si>
    <t>Alma Flores</t>
  </si>
  <si>
    <t>805-500-5374</t>
  </si>
  <si>
    <t>A &amp; T Brothers</t>
  </si>
  <si>
    <t>84-2023662</t>
  </si>
  <si>
    <t>916-380-1049</t>
  </si>
  <si>
    <t>A &amp; V</t>
  </si>
  <si>
    <t>76-0739452</t>
  </si>
  <si>
    <t>310-628-5526</t>
  </si>
  <si>
    <t>A &amp; W Electronics Corp</t>
  </si>
  <si>
    <t>46-3479221</t>
  </si>
  <si>
    <t>480-300-2000</t>
  </si>
  <si>
    <t>A &amp; W Heavy Haul</t>
  </si>
  <si>
    <t>46-0996319</t>
  </si>
  <si>
    <t>708-545-6650</t>
  </si>
  <si>
    <t>A &amp; Z Trucking</t>
  </si>
  <si>
    <t>L2200</t>
  </si>
  <si>
    <t>52-2412563</t>
  </si>
  <si>
    <t>Zulma Gallegos</t>
  </si>
  <si>
    <t>661-723-6365</t>
  </si>
  <si>
    <t>A A Logistics LLC</t>
  </si>
  <si>
    <t>51603</t>
  </si>
  <si>
    <t>81-4181239</t>
  </si>
  <si>
    <t>267-884-1691</t>
  </si>
  <si>
    <t>A Ambassador Limousine &amp; Transportation</t>
  </si>
  <si>
    <t>20-8201166</t>
  </si>
  <si>
    <t>Hisham Elhayek</t>
  </si>
  <si>
    <t>713-572-5466</t>
  </si>
  <si>
    <t>A and A Fence Co</t>
  </si>
  <si>
    <t>16-1639985</t>
  </si>
  <si>
    <t>951-849-8515</t>
  </si>
  <si>
    <t>A and A Valley Trucking LLC</t>
  </si>
  <si>
    <t>53311</t>
  </si>
  <si>
    <t>82-3562611</t>
  </si>
  <si>
    <t>956-784-0648</t>
  </si>
  <si>
    <t>A and C Trucking LLC</t>
  </si>
  <si>
    <t>84-4830392</t>
  </si>
  <si>
    <t>601-613-7096</t>
  </si>
  <si>
    <t>A and R Trucking Express</t>
  </si>
  <si>
    <t>26-2384967</t>
  </si>
  <si>
    <t>Rosario Castro</t>
  </si>
  <si>
    <t>Fear Trucking, Inc.</t>
  </si>
  <si>
    <t>619-204-7299</t>
  </si>
  <si>
    <t>A Cat Trucking</t>
  </si>
  <si>
    <t>42538</t>
  </si>
  <si>
    <t>02-7043091</t>
  </si>
  <si>
    <t>626-209-5991</t>
  </si>
  <si>
    <t>A D S Gold</t>
  </si>
  <si>
    <t>33-0005090</t>
  </si>
  <si>
    <t>714-632-1888</t>
  </si>
  <si>
    <t>A D Transportation LLC</t>
  </si>
  <si>
    <t>48290</t>
  </si>
  <si>
    <t>81-3611026</t>
  </si>
  <si>
    <t>323-828-6289</t>
  </si>
  <si>
    <t>A F M Trucking LLC</t>
  </si>
  <si>
    <t>40323</t>
  </si>
  <si>
    <t>82-4600053</t>
  </si>
  <si>
    <t>786-521-7915</t>
  </si>
  <si>
    <t>A Farmer Services Corporation</t>
  </si>
  <si>
    <t>55-2910229</t>
  </si>
  <si>
    <t>760-791-3838</t>
  </si>
  <si>
    <t>A Farms Trading</t>
  </si>
  <si>
    <t>42930</t>
  </si>
  <si>
    <t>80-0207053</t>
  </si>
  <si>
    <t>626-350-0088</t>
  </si>
  <si>
    <t>112511</t>
  </si>
  <si>
    <t>A Finkl &amp; Sons Co</t>
  </si>
  <si>
    <t>48019</t>
  </si>
  <si>
    <t>36-2815417</t>
  </si>
  <si>
    <t>773-975-2642</t>
  </si>
  <si>
    <t>A G H Logistics</t>
  </si>
  <si>
    <t>51810</t>
  </si>
  <si>
    <t>85-2368750</t>
  </si>
  <si>
    <t>818-966-5800</t>
  </si>
  <si>
    <t>A Garnica Trucking LLC</t>
  </si>
  <si>
    <t>26-3035507</t>
  </si>
  <si>
    <t>385-888-4898</t>
  </si>
  <si>
    <t>A Group</t>
  </si>
  <si>
    <t>36416</t>
  </si>
  <si>
    <t>14-2915980</t>
  </si>
  <si>
    <t>219-286-7158</t>
  </si>
  <si>
    <t>A H Express</t>
  </si>
  <si>
    <t>47-3876047</t>
  </si>
  <si>
    <t>760-377-7779</t>
  </si>
  <si>
    <t>A HEART LIKE HIS TRUCKING LLC</t>
  </si>
  <si>
    <t>34852</t>
  </si>
  <si>
    <t>27-3835238</t>
  </si>
  <si>
    <t>719-761-8062</t>
  </si>
  <si>
    <t>A J Trans Carrier</t>
  </si>
  <si>
    <t>85-1416777</t>
  </si>
  <si>
    <t>661-220-3592</t>
  </si>
  <si>
    <t>A J Worley LLC</t>
  </si>
  <si>
    <t>84-3208533</t>
  </si>
  <si>
    <t>951-323-3393</t>
  </si>
  <si>
    <t>A Juan Cifuentes</t>
  </si>
  <si>
    <t>61-8708340</t>
  </si>
  <si>
    <t>415-596-0295</t>
  </si>
  <si>
    <t>A Logistics LLC</t>
  </si>
  <si>
    <t>52-8595763</t>
  </si>
  <si>
    <t>701-651-6313</t>
  </si>
  <si>
    <t>WY</t>
  </si>
  <si>
    <t>A M Cabinets</t>
  </si>
  <si>
    <t>95-3238810</t>
  </si>
  <si>
    <t>Alex McKay</t>
  </si>
  <si>
    <t>310-878-2154</t>
  </si>
  <si>
    <t>A M S Logistics</t>
  </si>
  <si>
    <t>52530</t>
  </si>
  <si>
    <t>82-2545722</t>
  </si>
  <si>
    <t>510-038-8944</t>
  </si>
  <si>
    <t>A M Transport</t>
  </si>
  <si>
    <t>40369</t>
  </si>
  <si>
    <t>47-3027686</t>
  </si>
  <si>
    <t>720-422-5502</t>
  </si>
  <si>
    <t>A N C Express LLC</t>
  </si>
  <si>
    <t>35001</t>
  </si>
  <si>
    <t>26-1941069</t>
  </si>
  <si>
    <t>601-201-9429</t>
  </si>
  <si>
    <t>MS</t>
  </si>
  <si>
    <t>A N T Logistics LLC</t>
  </si>
  <si>
    <t>47-2935475</t>
  </si>
  <si>
    <t>828-280-7667</t>
  </si>
  <si>
    <t>236220</t>
  </si>
  <si>
    <t>A New Day Trucking LLC</t>
  </si>
  <si>
    <t>33266</t>
  </si>
  <si>
    <t>46-5653585</t>
  </si>
  <si>
    <t>770-896-2489</t>
  </si>
  <si>
    <t>A OK Pumping</t>
  </si>
  <si>
    <t>80-0157151</t>
  </si>
  <si>
    <t>Noel Obero</t>
  </si>
  <si>
    <t>909-721-0085</t>
  </si>
  <si>
    <t>A Oseguera Company</t>
  </si>
  <si>
    <t>23441</t>
  </si>
  <si>
    <t>77-0226407</t>
  </si>
  <si>
    <t>Hilda Garibay</t>
  </si>
  <si>
    <t>831-443-4155</t>
  </si>
  <si>
    <t>A Plus Express</t>
  </si>
  <si>
    <t>46507</t>
  </si>
  <si>
    <t>27-2813084</t>
  </si>
  <si>
    <t>909-760-9160</t>
  </si>
  <si>
    <t>A R M I Express</t>
  </si>
  <si>
    <t>30230</t>
  </si>
  <si>
    <t>45-4265802</t>
  </si>
  <si>
    <t>Ricardo Rivas</t>
  </si>
  <si>
    <t>626-216-8731</t>
  </si>
  <si>
    <t>A S T Transport</t>
  </si>
  <si>
    <t>47-4833676</t>
  </si>
  <si>
    <t>661-410-9605</t>
  </si>
  <si>
    <t>A S Trans</t>
  </si>
  <si>
    <t>81-1903895</t>
  </si>
  <si>
    <t>925-895-2491</t>
  </si>
  <si>
    <t>A S Vanevski Transport</t>
  </si>
  <si>
    <t>38956</t>
  </si>
  <si>
    <t>82-2242527</t>
  </si>
  <si>
    <t>310-375-1155</t>
  </si>
  <si>
    <t>A Sterling Freight Carrier</t>
  </si>
  <si>
    <t>37803</t>
  </si>
  <si>
    <t>45-3267852</t>
  </si>
  <si>
    <t>909-421-1800</t>
  </si>
  <si>
    <t>A Triple M Logistics LLC</t>
  </si>
  <si>
    <t>84-4096931</t>
  </si>
  <si>
    <t>305-542-9998</t>
  </si>
  <si>
    <t>A Vargas Trucking</t>
  </si>
  <si>
    <t>61-1543881</t>
  </si>
  <si>
    <t>909-267-5163</t>
  </si>
  <si>
    <t>A&amp;A Gomez Transports LLC</t>
  </si>
  <si>
    <t>82-4171435</t>
  </si>
  <si>
    <t>559-232-6711</t>
  </si>
  <si>
    <t>A&amp;A Investors LLC</t>
  </si>
  <si>
    <t>35674</t>
  </si>
  <si>
    <t>47-2668713</t>
  </si>
  <si>
    <t>951-390-3303</t>
  </si>
  <si>
    <t>A&amp;B Group</t>
  </si>
  <si>
    <t>72-1285950</t>
  </si>
  <si>
    <t>A&amp;B Transport</t>
  </si>
  <si>
    <t>337-528-6880</t>
  </si>
  <si>
    <t>LA</t>
  </si>
  <si>
    <t>48337</t>
  </si>
  <si>
    <t>85-1229822</t>
  </si>
  <si>
    <t>559-704-7304</t>
  </si>
  <si>
    <t>A&amp;C Commerce Services LLC</t>
  </si>
  <si>
    <t>87-0836007</t>
  </si>
  <si>
    <t>323-839-7579</t>
  </si>
  <si>
    <t>A&amp;C Exim Partner SRL</t>
  </si>
  <si>
    <t>98-0493894</t>
  </si>
  <si>
    <t>714-929-8505</t>
  </si>
  <si>
    <t>A&amp;D Hauling Services</t>
  </si>
  <si>
    <t>L2284</t>
  </si>
  <si>
    <t>95-4293168</t>
  </si>
  <si>
    <t>Fortune Dynamic</t>
  </si>
  <si>
    <t>310-514-8969</t>
  </si>
  <si>
    <t>A&amp;E Express LLC</t>
  </si>
  <si>
    <t>82-2932500</t>
  </si>
  <si>
    <t>602-781-3061</t>
  </si>
  <si>
    <t>A&amp;E Munoz Contracting</t>
  </si>
  <si>
    <t>62-4846138</t>
  </si>
  <si>
    <t>559-333-2651</t>
  </si>
  <si>
    <t>A&amp;F Express LLC</t>
  </si>
  <si>
    <t>82-1707842</t>
  </si>
  <si>
    <t>336-688-9309</t>
  </si>
  <si>
    <t>A&amp;G Cargo</t>
  </si>
  <si>
    <t>82-1341650</t>
  </si>
  <si>
    <t>510-407-6407</t>
  </si>
  <si>
    <t>A&amp;G Transport LLC</t>
  </si>
  <si>
    <t>58-1390815</t>
  </si>
  <si>
    <t>702-250-0993</t>
  </si>
  <si>
    <t>A&amp;H Casas Trucking LLC</t>
  </si>
  <si>
    <t>26-0843566</t>
  </si>
  <si>
    <t>323-481-0583</t>
  </si>
  <si>
    <t>A&amp;H Trucking LLC</t>
  </si>
  <si>
    <t>46-2718182</t>
  </si>
  <si>
    <t>A&amp;IN GROUP LLC</t>
  </si>
  <si>
    <t>26-0527444</t>
  </si>
  <si>
    <t>773-990-0903</t>
  </si>
  <si>
    <t>A&amp;J Cargo LLC</t>
  </si>
  <si>
    <t>47-3260440</t>
  </si>
  <si>
    <t>323-383-1668</t>
  </si>
  <si>
    <t>A&amp;J Your Partners Freight LLC</t>
  </si>
  <si>
    <t>84-3431867</t>
  </si>
  <si>
    <t>714-797-2382</t>
  </si>
  <si>
    <t>A&amp;K Truckline</t>
  </si>
  <si>
    <t>45838</t>
  </si>
  <si>
    <t>83-1488292</t>
  </si>
  <si>
    <t>347-832-7785</t>
  </si>
  <si>
    <t>A&amp;L Trading</t>
  </si>
  <si>
    <t>46-0645826</t>
  </si>
  <si>
    <t>714-683-4524</t>
  </si>
  <si>
    <t>A&amp;M Aggregate Transport LLC</t>
  </si>
  <si>
    <t>81-1893531</t>
  </si>
  <si>
    <t>470-209-5516</t>
  </si>
  <si>
    <t>A&amp;M Carriers</t>
  </si>
  <si>
    <t>50340</t>
  </si>
  <si>
    <t>81-1011683</t>
  </si>
  <si>
    <t>929-928-0048</t>
  </si>
  <si>
    <t>A&amp;M Construction &amp; Excavation</t>
  </si>
  <si>
    <t>84-1491565</t>
  </si>
  <si>
    <t>970-264-4568</t>
  </si>
  <si>
    <t>A&amp;M Express Group</t>
  </si>
  <si>
    <t>86-1608465</t>
  </si>
  <si>
    <t>626-512-5508</t>
  </si>
  <si>
    <t>A&amp;M Flower Growers</t>
  </si>
  <si>
    <t>77-0417978</t>
  </si>
  <si>
    <t>805-933-3693</t>
  </si>
  <si>
    <t>A&amp;M Intermodal</t>
  </si>
  <si>
    <t>27-3086214</t>
  </si>
  <si>
    <t>773-735-9500</t>
  </si>
  <si>
    <t>A&amp;M International Transport</t>
  </si>
  <si>
    <t>20-5107282</t>
  </si>
  <si>
    <t>619-921-8446</t>
  </si>
  <si>
    <t>A&amp;M Tree Specialist</t>
  </si>
  <si>
    <t>80-0813771</t>
  </si>
  <si>
    <t>714-535-5113</t>
  </si>
  <si>
    <t>A&amp;N Transport</t>
  </si>
  <si>
    <t>47-4615826</t>
  </si>
  <si>
    <t>209-817-3763</t>
  </si>
  <si>
    <t>A&amp;R Dispatching LLC</t>
  </si>
  <si>
    <t>08-3253956</t>
  </si>
  <si>
    <t>225-529-7237</t>
  </si>
  <si>
    <t>A&amp;R Express Lines</t>
  </si>
  <si>
    <t>82-1394590</t>
  </si>
  <si>
    <t>916-955-0261</t>
  </si>
  <si>
    <t>A&amp;R Garcia Trucking LLC</t>
  </si>
  <si>
    <t>81-4305203</t>
  </si>
  <si>
    <t>559-223-0281</t>
  </si>
  <si>
    <t>A&amp;R Transportation LLC</t>
  </si>
  <si>
    <t>83-2329555</t>
  </si>
  <si>
    <t>915-334-4283</t>
  </si>
  <si>
    <t>A&amp;S LOGISTIXS</t>
  </si>
  <si>
    <t>47730-47730</t>
  </si>
  <si>
    <t>52-7083694</t>
  </si>
  <si>
    <t>562-209-9884 - 562-209-9884</t>
  </si>
  <si>
    <t>A&amp;S Trucking Co LLC</t>
  </si>
  <si>
    <t>83-2474095</t>
  </si>
  <si>
    <t>562-293-7522</t>
  </si>
  <si>
    <t>A&amp;T Transport</t>
  </si>
  <si>
    <t>77-0526569</t>
  </si>
  <si>
    <t>661-524-4294</t>
  </si>
  <si>
    <t>A&amp;V South Florida Corp</t>
  </si>
  <si>
    <t>47-2940335</t>
  </si>
  <si>
    <t>305-883-1000</t>
  </si>
  <si>
    <t>A&amp;V Transport</t>
  </si>
  <si>
    <t>20-2700171</t>
  </si>
  <si>
    <t>951-858-9051</t>
  </si>
  <si>
    <t>A&amp;W Lawns</t>
  </si>
  <si>
    <t>72-1578700</t>
  </si>
  <si>
    <t>901-262-1903</t>
  </si>
  <si>
    <t>A&amp;Z Brothers Transport</t>
  </si>
  <si>
    <t>45-4015759</t>
  </si>
  <si>
    <t>773-603-8109</t>
  </si>
  <si>
    <t>A's &amp; L Transportorporated</t>
  </si>
  <si>
    <t>38988</t>
  </si>
  <si>
    <t>46-4304272</t>
  </si>
  <si>
    <t>562-824-2325</t>
  </si>
  <si>
    <t>A's &amp; L Trucking</t>
  </si>
  <si>
    <t>30890</t>
  </si>
  <si>
    <t>27-2534828</t>
  </si>
  <si>
    <t>Noemi Armenta-Martinez</t>
  </si>
  <si>
    <t>A+ Superior Sanitation</t>
  </si>
  <si>
    <t>30632</t>
  </si>
  <si>
    <t>42-1542313</t>
  </si>
  <si>
    <t>Michael Gasinski</t>
  </si>
  <si>
    <t>661-269-0283</t>
  </si>
  <si>
    <t>562219</t>
  </si>
  <si>
    <t>A-1 Alloys</t>
  </si>
  <si>
    <t>33-0354384</t>
  </si>
  <si>
    <t>619-591-2190</t>
  </si>
  <si>
    <t>A-1 Concrete Leveling LLC</t>
  </si>
  <si>
    <t>61-1497836</t>
  </si>
  <si>
    <t>61-520-7103</t>
  </si>
  <si>
    <t>A-1 Trucking</t>
  </si>
  <si>
    <t>82-0581723</t>
  </si>
  <si>
    <t>323-887-9898</t>
  </si>
  <si>
    <t>A-One Carriers LLC</t>
  </si>
  <si>
    <t>41414</t>
  </si>
  <si>
    <t>46-4231122</t>
  </si>
  <si>
    <t>623-824-8700</t>
  </si>
  <si>
    <t>A-Prime Trucking</t>
  </si>
  <si>
    <t>20-2583268</t>
  </si>
  <si>
    <t>951-279-5172</t>
  </si>
  <si>
    <t>A-Rapid  Logistics</t>
  </si>
  <si>
    <t>12-2603861</t>
  </si>
  <si>
    <t>201-362-6119</t>
  </si>
  <si>
    <t>A-Star Transport LLC</t>
  </si>
  <si>
    <t>86-2137230</t>
  </si>
  <si>
    <t>909-695-8935</t>
  </si>
  <si>
    <t>A-Tach Construction &amp; Engineering</t>
  </si>
  <si>
    <t>46-1835063</t>
  </si>
  <si>
    <t>A-Tach Construction</t>
  </si>
  <si>
    <t>916-709-4763</t>
  </si>
  <si>
    <t>A/A Investments</t>
  </si>
  <si>
    <t>37129</t>
  </si>
  <si>
    <t>83-0412097</t>
  </si>
  <si>
    <t>818-631-6410</t>
  </si>
  <si>
    <t>A/S Trucking LLC</t>
  </si>
  <si>
    <t>83-3649678</t>
  </si>
  <si>
    <t>714-222-2851</t>
  </si>
  <si>
    <t>A1 Distribution LLC</t>
  </si>
  <si>
    <t>86-3488895</t>
  </si>
  <si>
    <t>747-258-1302</t>
  </si>
  <si>
    <t>A1 Express LLC</t>
  </si>
  <si>
    <t>83-2180681</t>
  </si>
  <si>
    <t>909-231-4449</t>
  </si>
  <si>
    <t>A1 Express Transport</t>
  </si>
  <si>
    <t>47-3738116</t>
  </si>
  <si>
    <t>951-313-5778</t>
  </si>
  <si>
    <t>A1 Logistics</t>
  </si>
  <si>
    <t>47-4470857</t>
  </si>
  <si>
    <t>818-808-9482</t>
  </si>
  <si>
    <t>A1 Movers</t>
  </si>
  <si>
    <t>90-1252598</t>
  </si>
  <si>
    <t>760-699-7827</t>
  </si>
  <si>
    <t>A1 Oil Recycling LLC</t>
  </si>
  <si>
    <t>36245</t>
  </si>
  <si>
    <t>46-3874157</t>
  </si>
  <si>
    <t>310-266-2910</t>
  </si>
  <si>
    <t>423930</t>
  </si>
  <si>
    <t>A1 Trans LLC</t>
  </si>
  <si>
    <t>47-1610157</t>
  </si>
  <si>
    <t>313-277-3601</t>
  </si>
  <si>
    <t>A1 Transport</t>
  </si>
  <si>
    <t>51-8775230</t>
  </si>
  <si>
    <t>208-293-7005</t>
  </si>
  <si>
    <t>A1 Transport LLC</t>
  </si>
  <si>
    <t>42718</t>
  </si>
  <si>
    <t>83-2632062</t>
  </si>
  <si>
    <t>843-610-2827</t>
  </si>
  <si>
    <t>IA</t>
  </si>
  <si>
    <t>A1 USA Express LLC</t>
  </si>
  <si>
    <t>46-3980885</t>
  </si>
  <si>
    <t>773-799-5462</t>
  </si>
  <si>
    <t>OH</t>
  </si>
  <si>
    <t>A2A Trucking LLC</t>
  </si>
  <si>
    <t>83-2331044</t>
  </si>
  <si>
    <t>646-644-9985</t>
  </si>
  <si>
    <t>A2B4U Logistics</t>
  </si>
  <si>
    <t>04-3599604</t>
  </si>
  <si>
    <t>916-992-1404</t>
  </si>
  <si>
    <t>A2Z Carrier LLC</t>
  </si>
  <si>
    <t>51244</t>
  </si>
  <si>
    <t>81-4671365</t>
  </si>
  <si>
    <t>713-389-0496</t>
  </si>
  <si>
    <t>A2Z Shipping</t>
  </si>
  <si>
    <t>82-4691887</t>
  </si>
  <si>
    <t>571-214-1029</t>
  </si>
  <si>
    <t>A3SM LLC</t>
  </si>
  <si>
    <t>47169</t>
  </si>
  <si>
    <t>84-3404592</t>
  </si>
  <si>
    <t>718-598-8806</t>
  </si>
  <si>
    <t>A88 Trucking</t>
  </si>
  <si>
    <t>38371</t>
  </si>
  <si>
    <t>47-3061718</t>
  </si>
  <si>
    <t>510-332-9512</t>
  </si>
  <si>
    <t>AA Laboratory Eggs</t>
  </si>
  <si>
    <t>33-0870176</t>
  </si>
  <si>
    <t>Balut Pateros</t>
  </si>
  <si>
    <t>714-893-5675</t>
  </si>
  <si>
    <t>AA Trucking LLC</t>
  </si>
  <si>
    <t>27-4586534</t>
  </si>
  <si>
    <t>310-904-4169</t>
  </si>
  <si>
    <t>AAA Auto Recycling LLC</t>
  </si>
  <si>
    <t>82-3230405</t>
  </si>
  <si>
    <t>530-636-6665</t>
  </si>
  <si>
    <t>AAA Auto Towing LLC</t>
  </si>
  <si>
    <t>84-5052049</t>
  </si>
  <si>
    <t>AAA Auto Transport LLC</t>
  </si>
  <si>
    <t>43029</t>
  </si>
  <si>
    <t>83-4506226</t>
  </si>
  <si>
    <t>203-993-7401</t>
  </si>
  <si>
    <t>CT</t>
  </si>
  <si>
    <t>AAA Copper Wire Recycling</t>
  </si>
  <si>
    <t>61-7824472</t>
  </si>
  <si>
    <t>909-900-3454</t>
  </si>
  <si>
    <t>AAA Credit Solutions</t>
  </si>
  <si>
    <t>45-5250879</t>
  </si>
  <si>
    <t>424-777-5111</t>
  </si>
  <si>
    <t>45-5250897</t>
  </si>
  <si>
    <t>A&amp;A Car Carriers</t>
  </si>
  <si>
    <t>818-433-6220</t>
  </si>
  <si>
    <t>45-5250899</t>
  </si>
  <si>
    <t>484230</t>
  </si>
  <si>
    <t>AAA Expedited Services LLC</t>
  </si>
  <si>
    <t>27-3289310</t>
  </si>
  <si>
    <t>702-932-2642</t>
  </si>
  <si>
    <t>AAA Institute</t>
  </si>
  <si>
    <t>96-0409720</t>
  </si>
  <si>
    <t>818-386-2109</t>
  </si>
  <si>
    <t>AAA International Seafood Corp</t>
  </si>
  <si>
    <t>26-0826094</t>
  </si>
  <si>
    <t>323-582-8003</t>
  </si>
  <si>
    <t>AAA Propane Services</t>
  </si>
  <si>
    <t>77-0301068</t>
  </si>
  <si>
    <t>805-988-9688</t>
  </si>
  <si>
    <t>AAA Scrap Recycling</t>
  </si>
  <si>
    <t>55-0433574</t>
  </si>
  <si>
    <t>951-781-8046</t>
  </si>
  <si>
    <t>AAA to Z Transport LLC</t>
  </si>
  <si>
    <t>49479</t>
  </si>
  <si>
    <t>83-2035548</t>
  </si>
  <si>
    <t>602-515-9230</t>
  </si>
  <si>
    <t>AAA Transportation LLC</t>
  </si>
  <si>
    <t>53289</t>
  </si>
  <si>
    <t>30-1271364</t>
  </si>
  <si>
    <t>480-578-0664</t>
  </si>
  <si>
    <t>AAA Trucking LLC</t>
  </si>
  <si>
    <t>50260</t>
  </si>
  <si>
    <t>81-0661652</t>
  </si>
  <si>
    <t>760-680-1301</t>
  </si>
  <si>
    <t>AAA's Express</t>
  </si>
  <si>
    <t>42689</t>
  </si>
  <si>
    <t>81-2239558</t>
  </si>
  <si>
    <t>760-250-1166</t>
  </si>
  <si>
    <t>AABIHA Express Courier &amp; Trucking Co</t>
  </si>
  <si>
    <t>46-0562166</t>
  </si>
  <si>
    <t>310-678-0672</t>
  </si>
  <si>
    <t>NY</t>
  </si>
  <si>
    <t>AAJ Express</t>
  </si>
  <si>
    <t>81-3346309</t>
  </si>
  <si>
    <t>951-463-2234</t>
  </si>
  <si>
    <t>Aamir Farooq Minhas</t>
  </si>
  <si>
    <t>12-4924739</t>
  </si>
  <si>
    <t>212-390-0740</t>
  </si>
  <si>
    <t>Aamir Iftikhar</t>
  </si>
  <si>
    <t>50473</t>
  </si>
  <si>
    <t>32-7964131</t>
  </si>
  <si>
    <t>424-438-9852</t>
  </si>
  <si>
    <t>AandC Trucking LLC</t>
  </si>
  <si>
    <t>84-3729430</t>
  </si>
  <si>
    <t>601-600-1069</t>
  </si>
  <si>
    <t>Aarao Carmerio Coelhoferreir</t>
  </si>
  <si>
    <t>15-6847449</t>
  </si>
  <si>
    <t>949-276-1009</t>
  </si>
  <si>
    <t>Aaro Moving Systems</t>
  </si>
  <si>
    <t>86-0355665</t>
  </si>
  <si>
    <t>Moving Management</t>
  </si>
  <si>
    <t>928-779-3628</t>
  </si>
  <si>
    <t>484210</t>
  </si>
  <si>
    <t>Aaron  Campos</t>
  </si>
  <si>
    <t>3402</t>
  </si>
  <si>
    <t>60-8036696</t>
  </si>
  <si>
    <t>951-653-7094</t>
  </si>
  <si>
    <t>Aaron Ali Barboza</t>
  </si>
  <si>
    <t>61-1466750</t>
  </si>
  <si>
    <t>661-556-6244</t>
  </si>
  <si>
    <t>Aaron B Cygan</t>
  </si>
  <si>
    <t>35-0604807</t>
  </si>
  <si>
    <t>909-292-8495</t>
  </si>
  <si>
    <t>Aaron Contreras</t>
  </si>
  <si>
    <t>85-3958821</t>
  </si>
  <si>
    <t>310-365-1969</t>
  </si>
  <si>
    <t>Aaron Dawayne Davis</t>
  </si>
  <si>
    <t>62-3648355</t>
  </si>
  <si>
    <t>661-268-2069</t>
  </si>
  <si>
    <t>Aaron Express</t>
  </si>
  <si>
    <t>84-3745527</t>
  </si>
  <si>
    <t>760-559-0106</t>
  </si>
  <si>
    <t>Aaron Guadalupe Angulo Medina</t>
  </si>
  <si>
    <t>30307</t>
  </si>
  <si>
    <t>60-5028708</t>
  </si>
  <si>
    <t>415-781-9105</t>
  </si>
  <si>
    <t>Aaron Guy Benson</t>
  </si>
  <si>
    <t>53-0417381</t>
  </si>
  <si>
    <t>661-447-2630</t>
  </si>
  <si>
    <t>Aaron John Cones</t>
  </si>
  <si>
    <t>45732</t>
  </si>
  <si>
    <t>26-2553912</t>
  </si>
  <si>
    <t>813-486-8095</t>
  </si>
  <si>
    <t>Aaron Keith Beltran Diaz</t>
  </si>
  <si>
    <t>60-3675515</t>
  </si>
  <si>
    <t>760-653-8803</t>
  </si>
  <si>
    <t>Aaron L Olds</t>
  </si>
  <si>
    <t>34636</t>
  </si>
  <si>
    <t>28-6887289</t>
  </si>
  <si>
    <t>567-204-1161</t>
  </si>
  <si>
    <t>Aaron Lance Clayborne</t>
  </si>
  <si>
    <t>49409</t>
  </si>
  <si>
    <t>62-3687210</t>
  </si>
  <si>
    <t>909-233-9439</t>
  </si>
  <si>
    <t>Aaron Levin</t>
  </si>
  <si>
    <t>62-2380952</t>
  </si>
  <si>
    <t>Guaranteed Transportation</t>
  </si>
  <si>
    <t>818-438-6965</t>
  </si>
  <si>
    <t>Aaron Lorenzo Henderson</t>
  </si>
  <si>
    <t>41935</t>
  </si>
  <si>
    <t>60-5607801</t>
  </si>
  <si>
    <t>909-657-3456</t>
  </si>
  <si>
    <t>Aaron Michael Brink</t>
  </si>
  <si>
    <t>34708</t>
  </si>
  <si>
    <t>37-7045311</t>
  </si>
  <si>
    <t>Ratchetjaw Transport</t>
  </si>
  <si>
    <t>770-841-1289</t>
  </si>
  <si>
    <t>Aaron Patton</t>
  </si>
  <si>
    <t>32-5725463</t>
  </si>
  <si>
    <t>708-639-2221</t>
  </si>
  <si>
    <t>Aaron R Moss</t>
  </si>
  <si>
    <t>23489</t>
  </si>
  <si>
    <t>34-6801763</t>
  </si>
  <si>
    <t>773-414-8268</t>
  </si>
  <si>
    <t>Aaron Rhines</t>
  </si>
  <si>
    <t>2 -11 9461</t>
  </si>
  <si>
    <t>360-572-8662</t>
  </si>
  <si>
    <t>Aaron Scott Daniels</t>
  </si>
  <si>
    <t>32972</t>
  </si>
  <si>
    <t>40-1356614</t>
  </si>
  <si>
    <t>502-902-1594</t>
  </si>
  <si>
    <t>Aaron Taylor</t>
  </si>
  <si>
    <t>82-4229251</t>
  </si>
  <si>
    <t>980-312-7255</t>
  </si>
  <si>
    <t>Aaron Zekai Li</t>
  </si>
  <si>
    <t>62-2738752</t>
  </si>
  <si>
    <t>626-660-8781</t>
  </si>
  <si>
    <t>Aaron Zepeda Gonzalez</t>
  </si>
  <si>
    <t>50734</t>
  </si>
  <si>
    <t>61-4149527</t>
  </si>
  <si>
    <t>626-523-2049</t>
  </si>
  <si>
    <t>Aaron Zuniga Beltran</t>
  </si>
  <si>
    <t>61-3105889</t>
  </si>
  <si>
    <t>661-859-7780</t>
  </si>
  <si>
    <t>Aaron's Safety Logistics</t>
  </si>
  <si>
    <t>84-3149551</t>
  </si>
  <si>
    <t>626-342-6061</t>
  </si>
  <si>
    <t>AATMA TRANSPORT</t>
  </si>
  <si>
    <t>35652</t>
  </si>
  <si>
    <t>47-2726709</t>
  </si>
  <si>
    <t>760-265-0059</t>
  </si>
  <si>
    <t>Aavant Enterprises</t>
  </si>
  <si>
    <t>44890</t>
  </si>
  <si>
    <t>84-2292249</t>
  </si>
  <si>
    <t>818-464-6799</t>
  </si>
  <si>
    <t>AAYAN CARGO</t>
  </si>
  <si>
    <t>83-4719547</t>
  </si>
  <si>
    <t>909-736-5853</t>
  </si>
  <si>
    <t>AB Cargo</t>
  </si>
  <si>
    <t>53231</t>
  </si>
  <si>
    <t>85-2300451</t>
  </si>
  <si>
    <t>909-681-6684</t>
  </si>
  <si>
    <t>AB Carriers</t>
  </si>
  <si>
    <t>50291</t>
  </si>
  <si>
    <t>83-1446963</t>
  </si>
  <si>
    <t>209-665-9200</t>
  </si>
  <si>
    <t>AB Freight</t>
  </si>
  <si>
    <t>48869</t>
  </si>
  <si>
    <t>84-3882094</t>
  </si>
  <si>
    <t>520-221-8555</t>
  </si>
  <si>
    <t>AB Land Development</t>
  </si>
  <si>
    <t>95-4515395</t>
  </si>
  <si>
    <t>818-983-1588</t>
  </si>
  <si>
    <t>35997</t>
  </si>
  <si>
    <t>237210</t>
  </si>
  <si>
    <t>AB Logistics LLC</t>
  </si>
  <si>
    <t>82-5080597</t>
  </si>
  <si>
    <t>702-330-6005</t>
  </si>
  <si>
    <t>AB Purewal</t>
  </si>
  <si>
    <t>83-1716564</t>
  </si>
  <si>
    <t>951-870-9410</t>
  </si>
  <si>
    <t>AB Transport LLC</t>
  </si>
  <si>
    <t>44334</t>
  </si>
  <si>
    <t>83-1304950</t>
  </si>
  <si>
    <t>619-789-9641</t>
  </si>
  <si>
    <t>ABA Express</t>
  </si>
  <si>
    <t>47-2054318</t>
  </si>
  <si>
    <t>916-216-1907</t>
  </si>
  <si>
    <t>Abacus Leasing</t>
  </si>
  <si>
    <t>83-2191551</t>
  </si>
  <si>
    <t>312-278-3442</t>
  </si>
  <si>
    <t>Abass Bher</t>
  </si>
  <si>
    <t>75-7266858</t>
  </si>
  <si>
    <t>919-358-2880</t>
  </si>
  <si>
    <t>Abba Distributors</t>
  </si>
  <si>
    <t>95-4622549</t>
  </si>
  <si>
    <t>Design Hardware</t>
  </si>
  <si>
    <t>323-930-1330</t>
  </si>
  <si>
    <t>Abba International Transportation</t>
  </si>
  <si>
    <t>34678</t>
  </si>
  <si>
    <t>47-4149711</t>
  </si>
  <si>
    <t>619-671-9611</t>
  </si>
  <si>
    <t>Abby's Logistics</t>
  </si>
  <si>
    <t>43296</t>
  </si>
  <si>
    <t>83-4507922</t>
  </si>
  <si>
    <t>323-219-2254</t>
  </si>
  <si>
    <t>ABC Company</t>
  </si>
  <si>
    <t>87-1234566</t>
  </si>
  <si>
    <t>Jim Davis</t>
  </si>
  <si>
    <t>ABC Green World</t>
  </si>
  <si>
    <t>51-0673063</t>
  </si>
  <si>
    <t>626-825-6296</t>
  </si>
  <si>
    <t>ABC Lucky Transportation</t>
  </si>
  <si>
    <t>83-0729045</t>
  </si>
  <si>
    <t>626-267-6651</t>
  </si>
  <si>
    <t>ABC Transportation LLC</t>
  </si>
  <si>
    <t>85-2069415</t>
  </si>
  <si>
    <t>209-684-2363</t>
  </si>
  <si>
    <t>Abcana Industries</t>
  </si>
  <si>
    <t>33-0596637</t>
  </si>
  <si>
    <t>619-444-9900</t>
  </si>
  <si>
    <t>ABD Logistics</t>
  </si>
  <si>
    <t>47-2767757</t>
  </si>
  <si>
    <t>951-524-2550</t>
  </si>
  <si>
    <t>Abdallah Mahmoud Aqel</t>
  </si>
  <si>
    <t>09-2229376</t>
  </si>
  <si>
    <t>909-222-9376</t>
  </si>
  <si>
    <t>Abdelnabi Basyouni</t>
  </si>
  <si>
    <t>39628</t>
  </si>
  <si>
    <t>26-1534271</t>
  </si>
  <si>
    <t>Nebo Transportation</t>
  </si>
  <si>
    <t>949-310-4955</t>
  </si>
  <si>
    <t>Abdi Abdullahi Ali</t>
  </si>
  <si>
    <t>62-2696298</t>
  </si>
  <si>
    <t>612-703-7964</t>
  </si>
  <si>
    <t>Abdi Dekow Tarabi</t>
  </si>
  <si>
    <t>52471</t>
  </si>
  <si>
    <t>80-5519118</t>
  </si>
  <si>
    <t>207-618-2120</t>
  </si>
  <si>
    <t>Abdikadir Abdirahman Omar</t>
  </si>
  <si>
    <t>61-1462182</t>
  </si>
  <si>
    <t>651-333-0473</t>
  </si>
  <si>
    <t>Abdikani Farah</t>
  </si>
  <si>
    <t>83-0649405</t>
  </si>
  <si>
    <t>Jigjigawi Trucking Company</t>
  </si>
  <si>
    <t>713-231-4841</t>
  </si>
  <si>
    <t>Abdillahi A Ali</t>
  </si>
  <si>
    <t>23226</t>
  </si>
  <si>
    <t>04-3965959</t>
  </si>
  <si>
    <t>Abdillahi A. Ali</t>
  </si>
  <si>
    <t>904-672-5845</t>
  </si>
  <si>
    <t>Abdinasir M Dirie</t>
  </si>
  <si>
    <t>60-8830880</t>
  </si>
  <si>
    <t>619-808-2829</t>
  </si>
  <si>
    <t>Abdinasir M Isse</t>
  </si>
  <si>
    <t>67-4102926</t>
  </si>
  <si>
    <t>303-408-2372</t>
  </si>
  <si>
    <t>Abdon Hernandez</t>
  </si>
  <si>
    <t>64-5108578</t>
  </si>
  <si>
    <t>562-331-8474</t>
  </si>
  <si>
    <t>Abdul A Contreras</t>
  </si>
  <si>
    <t>38561</t>
  </si>
  <si>
    <t>60-0245374</t>
  </si>
  <si>
    <t>520-204-8356</t>
  </si>
  <si>
    <t>Abdul Ibrahim</t>
  </si>
  <si>
    <t>54-5064521</t>
  </si>
  <si>
    <t>559-395-5030</t>
  </si>
  <si>
    <t>Abdul Q Nasevi</t>
  </si>
  <si>
    <t>77-0113394</t>
  </si>
  <si>
    <t>443-360-8480</t>
  </si>
  <si>
    <t>Abdul Sholiay</t>
  </si>
  <si>
    <t>60-2761172</t>
  </si>
  <si>
    <t>530-329-1454</t>
  </si>
  <si>
    <t>Abdulah Mohamud Muhudin</t>
  </si>
  <si>
    <t>89-6224623</t>
  </si>
  <si>
    <t>806-443-5185</t>
  </si>
  <si>
    <t>Abdulai Sintali</t>
  </si>
  <si>
    <t>33388</t>
  </si>
  <si>
    <t>34-2042289</t>
  </si>
  <si>
    <t>309-912-2529</t>
  </si>
  <si>
    <t>Abdulkadir M Hussein</t>
  </si>
  <si>
    <t>52172</t>
  </si>
  <si>
    <t>83-4695070</t>
  </si>
  <si>
    <t>425-444-2767</t>
  </si>
  <si>
    <t>Abdulla M Usmanov</t>
  </si>
  <si>
    <t>42517</t>
  </si>
  <si>
    <t>76-4623707</t>
  </si>
  <si>
    <t>520-245-9075</t>
  </si>
  <si>
    <t>Abdullah Baraket</t>
  </si>
  <si>
    <t>17-6840723</t>
  </si>
  <si>
    <t>909-319-5603</t>
  </si>
  <si>
    <t>Abdullah H Al Shaikhli</t>
  </si>
  <si>
    <t>79-1986688</t>
  </si>
  <si>
    <t>623-299-5777</t>
  </si>
  <si>
    <t>Abdullah Jones</t>
  </si>
  <si>
    <t>55-9594013</t>
  </si>
  <si>
    <t>909-708-1672</t>
  </si>
  <si>
    <t>Abdullah Shakur Shaheed</t>
  </si>
  <si>
    <t>25-5111134</t>
  </si>
  <si>
    <t>678-334-7469</t>
  </si>
  <si>
    <t>Abdulnasser Saef</t>
  </si>
  <si>
    <t>60-7927510</t>
  </si>
  <si>
    <t>661-302-2596</t>
  </si>
  <si>
    <t>Abdurasulov Marufzhon</t>
  </si>
  <si>
    <t>28-6314643</t>
  </si>
  <si>
    <t>929-313-1010</t>
  </si>
  <si>
    <t>ABE Cherry Trucking</t>
  </si>
  <si>
    <t>82-0658443</t>
  </si>
  <si>
    <t>609-707-7314</t>
  </si>
  <si>
    <t>Abebaw Yimer Mekonen</t>
  </si>
  <si>
    <t>68-0748331</t>
  </si>
  <si>
    <t>702-336-7070</t>
  </si>
  <si>
    <t>Abel A Ramos Axume</t>
  </si>
  <si>
    <t>60-4413984</t>
  </si>
  <si>
    <t>323-830-6626</t>
  </si>
  <si>
    <t>Abel Akalu Yohannes</t>
  </si>
  <si>
    <t>22-9618930</t>
  </si>
  <si>
    <t>701-219-8493</t>
  </si>
  <si>
    <t>Abel Alcaraz Juarez</t>
  </si>
  <si>
    <t>31788</t>
  </si>
  <si>
    <t>77-0529868</t>
  </si>
  <si>
    <t>Abel Juarez</t>
  </si>
  <si>
    <t>Jenny's Trucking</t>
  </si>
  <si>
    <t>805-207-0677</t>
  </si>
  <si>
    <t>Abel Arzabal Martinez</t>
  </si>
  <si>
    <t>62-2317849</t>
  </si>
  <si>
    <t>831-673-0738</t>
  </si>
  <si>
    <t>Abel Bustamante</t>
  </si>
  <si>
    <t>62-3129761</t>
  </si>
  <si>
    <t>951-219-5279</t>
  </si>
  <si>
    <t>Abel C Villanueva</t>
  </si>
  <si>
    <t>45-2969102</t>
  </si>
  <si>
    <t>ABC Transport</t>
  </si>
  <si>
    <t>661-932-3014</t>
  </si>
  <si>
    <t>Abel De Jesus Castillo</t>
  </si>
  <si>
    <t>81-4321318</t>
  </si>
  <si>
    <t>Abel Trucks</t>
  </si>
  <si>
    <t>323-337-6184</t>
  </si>
  <si>
    <t>Abel Dominguez</t>
  </si>
  <si>
    <t>45-0028842</t>
  </si>
  <si>
    <t>714-222-2046</t>
  </si>
  <si>
    <t>Abel Ferres</t>
  </si>
  <si>
    <t>76-9709645</t>
  </si>
  <si>
    <t>908-347-3482</t>
  </si>
  <si>
    <t>Abel Fuentes Pantoja</t>
  </si>
  <si>
    <t>62-0588332</t>
  </si>
  <si>
    <t>805-717-8597</t>
  </si>
  <si>
    <t>Abel Jr Beltran</t>
  </si>
  <si>
    <t>62-6529123</t>
  </si>
  <si>
    <t>818-854-2471</t>
  </si>
  <si>
    <t>Abel M Eyassu</t>
  </si>
  <si>
    <t>65-2422154</t>
  </si>
  <si>
    <t>303-243-2331</t>
  </si>
  <si>
    <t>Abel N Bonilla</t>
  </si>
  <si>
    <t>60-9154600</t>
  </si>
  <si>
    <t>760-684-2577</t>
  </si>
  <si>
    <t>Abel Ordonez</t>
  </si>
  <si>
    <t>60-9181712</t>
  </si>
  <si>
    <t>909-578-5825</t>
  </si>
  <si>
    <t>Abel Pena Garcia</t>
  </si>
  <si>
    <t>62-4146615</t>
  </si>
  <si>
    <t>909-708-1888</t>
  </si>
  <si>
    <t>Abel Perez Perez</t>
  </si>
  <si>
    <t>23072</t>
  </si>
  <si>
    <t>64-5168828</t>
  </si>
  <si>
    <t>559-731-5482</t>
  </si>
  <si>
    <t>Abel Reyes</t>
  </si>
  <si>
    <t>62-1520486</t>
  </si>
  <si>
    <t>562-313-9294</t>
  </si>
  <si>
    <t>Abel Ricardo Valdivia Flores</t>
  </si>
  <si>
    <t>41867</t>
  </si>
  <si>
    <t>72-1900470</t>
  </si>
  <si>
    <t>909-341-8945</t>
  </si>
  <si>
    <t>Abel Sanchez Alvares</t>
  </si>
  <si>
    <t>42948</t>
  </si>
  <si>
    <t>56-6974629</t>
  </si>
  <si>
    <t>805-415-3059</t>
  </si>
  <si>
    <t>Abel Villicana</t>
  </si>
  <si>
    <t>61-1508108</t>
  </si>
  <si>
    <t>209-305-5931</t>
  </si>
  <si>
    <t>Abel Zavala</t>
  </si>
  <si>
    <t>61-7152093</t>
  </si>
  <si>
    <t>909-401-6655</t>
  </si>
  <si>
    <t>Abelardo Aquilino Correa Santana</t>
  </si>
  <si>
    <t>68-0668930</t>
  </si>
  <si>
    <t>702-245-2084</t>
  </si>
  <si>
    <t>Abelardo Hernandez Romero</t>
  </si>
  <si>
    <t>32545</t>
  </si>
  <si>
    <t>46-5223690</t>
  </si>
  <si>
    <t>M &amp; A Transport</t>
  </si>
  <si>
    <t>626-993-8406</t>
  </si>
  <si>
    <t>Abelardo Nestor Lopez</t>
  </si>
  <si>
    <t>45228</t>
  </si>
  <si>
    <t>62-2099081</t>
  </si>
  <si>
    <t>805-636-7297</t>
  </si>
  <si>
    <t>Abelardo Quintero</t>
  </si>
  <si>
    <t>47337</t>
  </si>
  <si>
    <t>61-2425321</t>
  </si>
  <si>
    <t>559-350-2713</t>
  </si>
  <si>
    <t>Abelardo R Barboza</t>
  </si>
  <si>
    <t>35911</t>
  </si>
  <si>
    <t>54-6676029</t>
  </si>
  <si>
    <t>Abel's Transport</t>
  </si>
  <si>
    <t>760-979-3748</t>
  </si>
  <si>
    <t>Abelino Antonio Constanza Mendoza</t>
  </si>
  <si>
    <t>61-8644991</t>
  </si>
  <si>
    <t>Constanza Trucking</t>
  </si>
  <si>
    <t>909-762-3800</t>
  </si>
  <si>
    <t>Abelino Salinas Tapia</t>
  </si>
  <si>
    <t>47755</t>
  </si>
  <si>
    <t>60-8281621</t>
  </si>
  <si>
    <t>205-316-9757</t>
  </si>
  <si>
    <t>Aberod Trucking LLC</t>
  </si>
  <si>
    <t>27-1857665</t>
  </si>
  <si>
    <t>Aberod Trucking, LLC</t>
  </si>
  <si>
    <t>323-587-8777</t>
  </si>
  <si>
    <t>Abhishek Kohli</t>
  </si>
  <si>
    <t>81-3137636</t>
  </si>
  <si>
    <t>253-334-7019</t>
  </si>
  <si>
    <t>Abhishek Sharma</t>
  </si>
  <si>
    <t>46796</t>
  </si>
  <si>
    <t>68-8270236</t>
  </si>
  <si>
    <t>617-858-7876</t>
  </si>
  <si>
    <t>ABI ASSOCIATES</t>
  </si>
  <si>
    <t>27-3544861</t>
  </si>
  <si>
    <t>909-284-5200</t>
  </si>
  <si>
    <t>Abi Auto Group</t>
  </si>
  <si>
    <t>47-2766871</t>
  </si>
  <si>
    <t>302-213-0283</t>
  </si>
  <si>
    <t>ABI Logistics LLC</t>
  </si>
  <si>
    <t>82-3774469</t>
  </si>
  <si>
    <t>909-224-9669</t>
  </si>
  <si>
    <t>Abibu Momoh</t>
  </si>
  <si>
    <t>63-7080737</t>
  </si>
  <si>
    <t>347-458-7913</t>
  </si>
  <si>
    <t>Abigail  Padilla</t>
  </si>
  <si>
    <t>23487</t>
  </si>
  <si>
    <t>57-1392379</t>
  </si>
  <si>
    <t>562-948-5603</t>
  </si>
  <si>
    <t>Abigail Luz Vasquez</t>
  </si>
  <si>
    <t>37957</t>
  </si>
  <si>
    <t>54-8731053</t>
  </si>
  <si>
    <t>310-980-1935</t>
  </si>
  <si>
    <t>Abinesh Ram</t>
  </si>
  <si>
    <t>61-7252526</t>
  </si>
  <si>
    <t>Abinesh Ajay Ram</t>
  </si>
  <si>
    <t>916-382-9293</t>
  </si>
  <si>
    <t>Abisai Guajardo</t>
  </si>
  <si>
    <t>32379</t>
  </si>
  <si>
    <t>60-3283173</t>
  </si>
  <si>
    <t>209-613-7873</t>
  </si>
  <si>
    <t>Abisain</t>
  </si>
  <si>
    <t>83-2927367</t>
  </si>
  <si>
    <t>Abisain Construction Clean-Up</t>
  </si>
  <si>
    <t>323-383-4773</t>
  </si>
  <si>
    <t>ABL Express</t>
  </si>
  <si>
    <t>37715</t>
  </si>
  <si>
    <t>81-1646450</t>
  </si>
  <si>
    <t>909-296-0909</t>
  </si>
  <si>
    <t>ABL Transport</t>
  </si>
  <si>
    <t>83-2967763</t>
  </si>
  <si>
    <t>559-753-6508</t>
  </si>
  <si>
    <t>ABM Auto Transport LLC</t>
  </si>
  <si>
    <t>46-2588505</t>
  </si>
  <si>
    <t>717-371-6434</t>
  </si>
  <si>
    <t>ABM Trans</t>
  </si>
  <si>
    <t>53182</t>
  </si>
  <si>
    <t>46-1605350</t>
  </si>
  <si>
    <t>407-922-4068</t>
  </si>
  <si>
    <t>ABMG Transport</t>
  </si>
  <si>
    <t>48168</t>
  </si>
  <si>
    <t>83-1789174</t>
  </si>
  <si>
    <t>951-220-4426</t>
  </si>
  <si>
    <t>Abner Josue Aparicio</t>
  </si>
  <si>
    <t>42944</t>
  </si>
  <si>
    <t>62-0387744</t>
  </si>
  <si>
    <t>323-470-5593</t>
  </si>
  <si>
    <t>Abner Transportation</t>
  </si>
  <si>
    <t>84-2474390</t>
  </si>
  <si>
    <t>614-372-3336</t>
  </si>
  <si>
    <t>Abouelnaga Transport LLC</t>
  </si>
  <si>
    <t>47-2759398</t>
  </si>
  <si>
    <t>203-824-6977</t>
  </si>
  <si>
    <t>Above &amp; Beyond Express</t>
  </si>
  <si>
    <t>36017</t>
  </si>
  <si>
    <t>47-3561799</t>
  </si>
  <si>
    <t>714-614-1859</t>
  </si>
  <si>
    <t>Above All Transport</t>
  </si>
  <si>
    <t>82-4111094</t>
  </si>
  <si>
    <t>209-762-3994</t>
  </si>
  <si>
    <t>Above All Transport LLC</t>
  </si>
  <si>
    <t>30129</t>
  </si>
  <si>
    <t>26-4478233</t>
  </si>
  <si>
    <t>Ashley Weddell</t>
  </si>
  <si>
    <t>209-663-9521</t>
  </si>
  <si>
    <t>Above and  Beyond Delivery</t>
  </si>
  <si>
    <t>20-0671968</t>
  </si>
  <si>
    <t>480-705-5555</t>
  </si>
  <si>
    <t>Above and Beyond Cargo Services</t>
  </si>
  <si>
    <t>20-5585570</t>
  </si>
  <si>
    <t>310-515-1624</t>
  </si>
  <si>
    <t>Above and Beyond Logistics LLC</t>
  </si>
  <si>
    <t>84-2832240</t>
  </si>
  <si>
    <t>702-328-4977</t>
  </si>
  <si>
    <t>Above and Beyond Trucking</t>
  </si>
  <si>
    <t>84-2415230</t>
  </si>
  <si>
    <t>909-750-0764</t>
  </si>
  <si>
    <t>Above Trucking</t>
  </si>
  <si>
    <t>51575</t>
  </si>
  <si>
    <t>85-4197385</t>
  </si>
  <si>
    <t>626-438-8104</t>
  </si>
  <si>
    <t>Aboyan Brothers Trucking</t>
  </si>
  <si>
    <t>44639</t>
  </si>
  <si>
    <t>47-2354668</t>
  </si>
  <si>
    <t>818-660-7467</t>
  </si>
  <si>
    <t>ABR Transportation LLC</t>
  </si>
  <si>
    <t>39653</t>
  </si>
  <si>
    <t>82-1720392</t>
  </si>
  <si>
    <t>602-434-7967</t>
  </si>
  <si>
    <t>48121</t>
  </si>
  <si>
    <t>Abraham Anguiano</t>
  </si>
  <si>
    <t>41565</t>
  </si>
  <si>
    <t>57-0694346</t>
  </si>
  <si>
    <t>Abraham Go Ahead Trucking</t>
  </si>
  <si>
    <t>949-702-9437</t>
  </si>
  <si>
    <t>Abraham Barajas</t>
  </si>
  <si>
    <t>60-9111281</t>
  </si>
  <si>
    <t>909-486-2987</t>
  </si>
  <si>
    <t>Abraham Barragan Lopez</t>
  </si>
  <si>
    <t>60-0733316</t>
  </si>
  <si>
    <t>520-272-5857</t>
  </si>
  <si>
    <t>Abraham Baza Romero</t>
  </si>
  <si>
    <t>62-3922371</t>
  </si>
  <si>
    <t>760-449-0970</t>
  </si>
  <si>
    <t>Abraham Brown Jr</t>
  </si>
  <si>
    <t>32569</t>
  </si>
  <si>
    <t>24-7760038</t>
  </si>
  <si>
    <t>757-214-3710</t>
  </si>
  <si>
    <t>Abraham Enrique Martinez</t>
  </si>
  <si>
    <t>60-1510566</t>
  </si>
  <si>
    <t>520-841-0966</t>
  </si>
  <si>
    <t>Abraham Fikur</t>
  </si>
  <si>
    <t>65-3409454</t>
  </si>
  <si>
    <t>702-366-3228</t>
  </si>
  <si>
    <t>Abraham Garcia</t>
  </si>
  <si>
    <t>61-0256167</t>
  </si>
  <si>
    <t>510-760-7523</t>
  </si>
  <si>
    <t>Abraham Garcia-Ruvalcaba</t>
  </si>
  <si>
    <t>37192</t>
  </si>
  <si>
    <t>56-2832095</t>
  </si>
  <si>
    <t>323-578-3770</t>
  </si>
  <si>
    <t>Abraham Gonzalez</t>
  </si>
  <si>
    <t>92-9830422</t>
  </si>
  <si>
    <t>909-257-6283</t>
  </si>
  <si>
    <t>Abraham Habtemariam Melake</t>
  </si>
  <si>
    <t>71-5916870</t>
  </si>
  <si>
    <t>702-690-7061</t>
  </si>
  <si>
    <t>Abraham Jose Esparza</t>
  </si>
  <si>
    <t>32-3825287</t>
  </si>
  <si>
    <t>630-222-6578</t>
  </si>
  <si>
    <t>Abraham Kofi Appiah</t>
  </si>
  <si>
    <t>46714</t>
  </si>
  <si>
    <t>61-3949100</t>
  </si>
  <si>
    <t>K&amp;K Trucking</t>
  </si>
  <si>
    <t>951-790-6429</t>
  </si>
  <si>
    <t>Abraham Lozado</t>
  </si>
  <si>
    <t>60-2074030</t>
  </si>
  <si>
    <t>714-618-8742</t>
  </si>
  <si>
    <t>Abraham Luna</t>
  </si>
  <si>
    <t>40902</t>
  </si>
  <si>
    <t>61-3261276</t>
  </si>
  <si>
    <t>702-742-6062</t>
  </si>
  <si>
    <t>Abraham Martinez</t>
  </si>
  <si>
    <t>61-8842417</t>
  </si>
  <si>
    <t>Hector VM Express LLC</t>
  </si>
  <si>
    <t>626-722-3926</t>
  </si>
  <si>
    <t>Abraham Mendivil Lopez</t>
  </si>
  <si>
    <t>76-4177942</t>
  </si>
  <si>
    <t>520-286-7097</t>
  </si>
  <si>
    <t>Abraham Morales</t>
  </si>
  <si>
    <t>46140</t>
  </si>
  <si>
    <t>62-5782365</t>
  </si>
  <si>
    <t>661-526-8715</t>
  </si>
  <si>
    <t>Abraham Partida Rodriguez</t>
  </si>
  <si>
    <t>83-1428885</t>
  </si>
  <si>
    <t>805-889-6827</t>
  </si>
  <si>
    <t>Abraham Ramirez Olave</t>
  </si>
  <si>
    <t>53208</t>
  </si>
  <si>
    <t>60-0179466</t>
  </si>
  <si>
    <t>480-329-2279</t>
  </si>
  <si>
    <t>Abraham Rodriguez</t>
  </si>
  <si>
    <t>78-0166251</t>
  </si>
  <si>
    <t>714-747-2289</t>
  </si>
  <si>
    <t>86-1790251</t>
  </si>
  <si>
    <t>Cool Transport of Southern CA, Repair Service</t>
  </si>
  <si>
    <t>909-802-0172</t>
  </si>
  <si>
    <t>Abraham Sanchez</t>
  </si>
  <si>
    <t>42038</t>
  </si>
  <si>
    <t>20-1123945</t>
  </si>
  <si>
    <t>Ramasco Trucking</t>
  </si>
  <si>
    <t>909-578-2631</t>
  </si>
  <si>
    <t>Abraham Solis</t>
  </si>
  <si>
    <t>55-4734245</t>
  </si>
  <si>
    <t>626-646-3124</t>
  </si>
  <si>
    <t>Abraham Sung Min Song</t>
  </si>
  <si>
    <t>95-4463710</t>
  </si>
  <si>
    <t>Abraham Express</t>
  </si>
  <si>
    <t>323-371-5353</t>
  </si>
  <si>
    <t>Abraham Transport</t>
  </si>
  <si>
    <t>40026</t>
  </si>
  <si>
    <t>37-1876925</t>
  </si>
  <si>
    <t>602-908-2347</t>
  </si>
  <si>
    <t>Abraham Varela Montiel</t>
  </si>
  <si>
    <t>32553</t>
  </si>
  <si>
    <t>62-6240220</t>
  </si>
  <si>
    <t>909-782-3935</t>
  </si>
  <si>
    <t>Abraham Vera</t>
  </si>
  <si>
    <t>38344</t>
  </si>
  <si>
    <t>60-9862775</t>
  </si>
  <si>
    <t>562-209-8304</t>
  </si>
  <si>
    <t>Abrahan Corona</t>
  </si>
  <si>
    <t>52099</t>
  </si>
  <si>
    <t>61-6643308</t>
  </si>
  <si>
    <t>209-678-4230</t>
  </si>
  <si>
    <t>Abram Expedited LLC</t>
  </si>
  <si>
    <t>46-1432549</t>
  </si>
  <si>
    <t>817-482-6591</t>
  </si>
  <si>
    <t>Abram Kadayan</t>
  </si>
  <si>
    <t>44952</t>
  </si>
  <si>
    <t>46-0498723</t>
  </si>
  <si>
    <t>HJ Trucking</t>
  </si>
  <si>
    <t>818-335-5927</t>
  </si>
  <si>
    <t>Abril Sheppard</t>
  </si>
  <si>
    <t>45-1352355</t>
  </si>
  <si>
    <t>940-999-8071</t>
  </si>
  <si>
    <t>Abror Rakhmator</t>
  </si>
  <si>
    <t>60-2612522</t>
  </si>
  <si>
    <t>916-889-9938</t>
  </si>
  <si>
    <t>Abrorjon A Abdurakhimov</t>
  </si>
  <si>
    <t>17-5865499</t>
  </si>
  <si>
    <t>215-789-8888</t>
  </si>
  <si>
    <t>ABS Transport</t>
  </si>
  <si>
    <t>81-0798276</t>
  </si>
  <si>
    <t>916-718-0934</t>
  </si>
  <si>
    <t>ABS Transportation Services LLC</t>
  </si>
  <si>
    <t>45-4526034</t>
  </si>
  <si>
    <t>Betty Lopez</t>
  </si>
  <si>
    <t>928-785-7058</t>
  </si>
  <si>
    <t>Absolute Freight</t>
  </si>
  <si>
    <t>20-8387545</t>
  </si>
  <si>
    <t>Sang Jun Park</t>
  </si>
  <si>
    <t>310-327-7119</t>
  </si>
  <si>
    <t>Absolute Ground Delivery</t>
  </si>
  <si>
    <t>45-4850985</t>
  </si>
  <si>
    <t>909-296-5900</t>
  </si>
  <si>
    <t>Absolute Intermodal LLC</t>
  </si>
  <si>
    <t>34839</t>
  </si>
  <si>
    <t>20-8759370</t>
  </si>
  <si>
    <t>602-320-9199</t>
  </si>
  <si>
    <t>Absolute Tree Surgeons</t>
  </si>
  <si>
    <t>84-1943704</t>
  </si>
  <si>
    <t>818-357-9749</t>
  </si>
  <si>
    <t>Absolute West LLC</t>
  </si>
  <si>
    <t>36788</t>
  </si>
  <si>
    <t>27-5031157</t>
  </si>
  <si>
    <t>Harbor Division</t>
  </si>
  <si>
    <t>310-522-4000</t>
  </si>
  <si>
    <t>Absolutely Transportation LLC</t>
  </si>
  <si>
    <t>39851</t>
  </si>
  <si>
    <t>45-4815535</t>
  </si>
  <si>
    <t>623-330-9500</t>
  </si>
  <si>
    <t>Abud Janay Dean</t>
  </si>
  <si>
    <t>60-3215839</t>
  </si>
  <si>
    <t>562-714-8158</t>
  </si>
  <si>
    <t>Abuelos Trucking LLC</t>
  </si>
  <si>
    <t>85-2085096</t>
  </si>
  <si>
    <t>602-571-3501</t>
  </si>
  <si>
    <t>Abukar Mohamed</t>
  </si>
  <si>
    <t>00-9922361</t>
  </si>
  <si>
    <t>612-987-2712</t>
  </si>
  <si>
    <t>Abundance Worldwide Enterprises</t>
  </si>
  <si>
    <t>43819</t>
  </si>
  <si>
    <t>47-3501514</t>
  </si>
  <si>
    <t>510-812-6446</t>
  </si>
  <si>
    <t>ABY Express LLC</t>
  </si>
  <si>
    <t>20-4665949</t>
  </si>
  <si>
    <t>818-765-8321</t>
  </si>
  <si>
    <t>Abylex</t>
  </si>
  <si>
    <t>81-2209857</t>
  </si>
  <si>
    <t>916-850-9952</t>
  </si>
  <si>
    <t>AC Ayala Trucking LLC</t>
  </si>
  <si>
    <t>36637</t>
  </si>
  <si>
    <t>81-2380015</t>
  </si>
  <si>
    <t>323-596-8329</t>
  </si>
  <si>
    <t>AC Campbell Transport</t>
  </si>
  <si>
    <t>34102</t>
  </si>
  <si>
    <t>33-0821222</t>
  </si>
  <si>
    <t>951-533-1333</t>
  </si>
  <si>
    <t>AC Castillo Trucking</t>
  </si>
  <si>
    <t>82-3867853</t>
  </si>
  <si>
    <t>323-747-2766</t>
  </si>
  <si>
    <t>AC Gardner Trucking LLC</t>
  </si>
  <si>
    <t>51-5449924</t>
  </si>
  <si>
    <t>509-833-1497</t>
  </si>
  <si>
    <t>AC Pacific Corporation</t>
  </si>
  <si>
    <t>20-0686614</t>
  </si>
  <si>
    <t>909-980-6262</t>
  </si>
  <si>
    <t>AC&amp;A</t>
  </si>
  <si>
    <t>61-1951187</t>
  </si>
  <si>
    <t>626-715-3765</t>
  </si>
  <si>
    <t>AC4 Transport LLC</t>
  </si>
  <si>
    <t>85-0557148</t>
  </si>
  <si>
    <t>956-463-3040</t>
  </si>
  <si>
    <t>ACA Trucking LLC</t>
  </si>
  <si>
    <t>83-1481715</t>
  </si>
  <si>
    <t>602-483-9914</t>
  </si>
  <si>
    <t>ACC 1950</t>
  </si>
  <si>
    <t>50335</t>
  </si>
  <si>
    <t>84-2117357</t>
  </si>
  <si>
    <t>909-904-4538</t>
  </si>
  <si>
    <t>Accelerated Transportation LLC</t>
  </si>
  <si>
    <t>86-3269556</t>
  </si>
  <si>
    <t>602-319-7306</t>
  </si>
  <si>
    <t>Accent Clean and Swep</t>
  </si>
  <si>
    <t>77-0578716</t>
  </si>
  <si>
    <t>831-214-3938</t>
  </si>
  <si>
    <t>Acclaimed Movers &amp; Storage</t>
  </si>
  <si>
    <t>11-3824325</t>
  </si>
  <si>
    <t>888-668-3703</t>
  </si>
  <si>
    <t>Acclaimed Trucking Corp</t>
  </si>
  <si>
    <t>82-4391578</t>
  </si>
  <si>
    <t>818-855-3042</t>
  </si>
  <si>
    <t>ACCLIVITY 1 SOLUTIONS</t>
  </si>
  <si>
    <t>82-0692823</t>
  </si>
  <si>
    <t>310-345-7690</t>
  </si>
  <si>
    <t>Accolade Management Company</t>
  </si>
  <si>
    <t>33093</t>
  </si>
  <si>
    <t>51-0641942</t>
  </si>
  <si>
    <t>Accolade Management</t>
  </si>
  <si>
    <t>310-749-3596</t>
  </si>
  <si>
    <t>Accord Transportation</t>
  </si>
  <si>
    <t>95-4687588</t>
  </si>
  <si>
    <t>Sharon Eurich</t>
  </si>
  <si>
    <t>909-620-7337</t>
  </si>
  <si>
    <t>Accord Trucking</t>
  </si>
  <si>
    <t>34787</t>
  </si>
  <si>
    <t>47-3559514</t>
  </si>
  <si>
    <t>623-414-7600</t>
  </si>
  <si>
    <t>Accredited Motor Carriers LLC</t>
  </si>
  <si>
    <t>83-3223265</t>
  </si>
  <si>
    <t>408-313-8397</t>
  </si>
  <si>
    <t>Accu-Cut</t>
  </si>
  <si>
    <t>45184</t>
  </si>
  <si>
    <t>95-3930918</t>
  </si>
  <si>
    <t>310-327-3454</t>
  </si>
  <si>
    <t>Accu-Dig</t>
  </si>
  <si>
    <t>20-8452411</t>
  </si>
  <si>
    <t>574-583-4814</t>
  </si>
  <si>
    <t>Accu-Dig Services</t>
  </si>
  <si>
    <t>20-4230426</t>
  </si>
  <si>
    <t>Accurate Cargo Delivery Systems</t>
  </si>
  <si>
    <t>36648</t>
  </si>
  <si>
    <t>86-0719664</t>
  </si>
  <si>
    <t>602-252-0505</t>
  </si>
  <si>
    <t>Accurate Delivery Systems</t>
  </si>
  <si>
    <t>32531</t>
  </si>
  <si>
    <t>95-4503294</t>
  </si>
  <si>
    <t>Mahmoud Maraach</t>
  </si>
  <si>
    <t>951-823-8870</t>
  </si>
  <si>
    <t>Accurate Grading and Demolition</t>
  </si>
  <si>
    <t>48950</t>
  </si>
  <si>
    <t>46-4276348</t>
  </si>
  <si>
    <t>619-247-9200</t>
  </si>
  <si>
    <t>Accurate Laminated Products</t>
  </si>
  <si>
    <t>33-0368800</t>
  </si>
  <si>
    <t>714-632-2773</t>
  </si>
  <si>
    <t>Accurate Staging</t>
  </si>
  <si>
    <t>30648</t>
  </si>
  <si>
    <t>95-4874227</t>
  </si>
  <si>
    <t>Alfredo Gomez</t>
  </si>
  <si>
    <t>310-324-1040</t>
  </si>
  <si>
    <t>Accurate Transport LLC</t>
  </si>
  <si>
    <t>42035</t>
  </si>
  <si>
    <t>27-0813709</t>
  </si>
  <si>
    <t>626-693-9557</t>
  </si>
  <si>
    <t>Ace American Transportation LLC</t>
  </si>
  <si>
    <t>45-3816430</t>
  </si>
  <si>
    <t>702-250-9310</t>
  </si>
  <si>
    <t>Ace Auto Tech</t>
  </si>
  <si>
    <t>84-4608989</t>
  </si>
  <si>
    <t>626-863-0672</t>
  </si>
  <si>
    <t>Ace Freightways</t>
  </si>
  <si>
    <t>41236</t>
  </si>
  <si>
    <t>81-4441227</t>
  </si>
  <si>
    <t>702-960-4839</t>
  </si>
  <si>
    <t>Ace Hauling Services</t>
  </si>
  <si>
    <t>76-0718406</t>
  </si>
  <si>
    <t>760-434-5740</t>
  </si>
  <si>
    <t>Ace Hotshot LLC</t>
  </si>
  <si>
    <t>50227</t>
  </si>
  <si>
    <t>85-1362190</t>
  </si>
  <si>
    <t>701-651-2975</t>
  </si>
  <si>
    <t>ND</t>
  </si>
  <si>
    <t>Ace Striker Logistics LLC</t>
  </si>
  <si>
    <t>43795</t>
  </si>
  <si>
    <t>84-2543614</t>
  </si>
  <si>
    <t>606-802-3653</t>
  </si>
  <si>
    <t>KY</t>
  </si>
  <si>
    <t>ACE Transit LLC</t>
  </si>
  <si>
    <t>85-2462485</t>
  </si>
  <si>
    <t>909-549-2772</t>
  </si>
  <si>
    <t>Ace Transport &amp; Trucking LLC</t>
  </si>
  <si>
    <t>83-0660510</t>
  </si>
  <si>
    <t>626-265-5105</t>
  </si>
  <si>
    <t>Ace Transportation &amp; Dispatch Services</t>
  </si>
  <si>
    <t>39196</t>
  </si>
  <si>
    <t>47-2775233</t>
  </si>
  <si>
    <t>213-294-2522</t>
  </si>
  <si>
    <t>Ace Transportation LLC</t>
  </si>
  <si>
    <t>80-0952724</t>
  </si>
  <si>
    <t>323-369-3595</t>
  </si>
  <si>
    <t>ACE Trucking Industries Corp</t>
  </si>
  <si>
    <t>39352</t>
  </si>
  <si>
    <t>46-4183560</t>
  </si>
  <si>
    <t>619-454-4740</t>
  </si>
  <si>
    <t>Ace Way Transportation</t>
  </si>
  <si>
    <t>85-2301773</t>
  </si>
  <si>
    <t>626-208-7201</t>
  </si>
  <si>
    <t>ACE2 Trucking</t>
  </si>
  <si>
    <t>81-3434734</t>
  </si>
  <si>
    <t>661-431-3999</t>
  </si>
  <si>
    <t>Acer Landscape Services LLC</t>
  </si>
  <si>
    <t>47-2786513</t>
  </si>
  <si>
    <t>615-350-8030</t>
  </si>
  <si>
    <t>Acevedo Distribution  LLC</t>
  </si>
  <si>
    <t>23592</t>
  </si>
  <si>
    <t>02-0627938</t>
  </si>
  <si>
    <t>Jerry Sanchez</t>
  </si>
  <si>
    <t>626-333-9200</t>
  </si>
  <si>
    <t>Acevedo Trucking</t>
  </si>
  <si>
    <t>39868</t>
  </si>
  <si>
    <t>90-0606225</t>
  </si>
  <si>
    <t>310-597-2444</t>
  </si>
  <si>
    <t>Acey-Decy Equipment Co</t>
  </si>
  <si>
    <t>36261</t>
  </si>
  <si>
    <t>95-4520327</t>
  </si>
  <si>
    <t>Acey Decy Lighting</t>
  </si>
  <si>
    <t>818-408-4444</t>
  </si>
  <si>
    <t>532412</t>
  </si>
  <si>
    <t>ACG Freight</t>
  </si>
  <si>
    <t>82-2621652</t>
  </si>
  <si>
    <t>331-333-9243</t>
  </si>
  <si>
    <t>Achieve Logistics</t>
  </si>
  <si>
    <t>85-1917986</t>
  </si>
  <si>
    <t>657-328-1086</t>
  </si>
  <si>
    <t>Achilles Might LLC</t>
  </si>
  <si>
    <t>61-9481786</t>
  </si>
  <si>
    <t>757-358-4591</t>
  </si>
  <si>
    <t>Achint Trucking</t>
  </si>
  <si>
    <t>38877</t>
  </si>
  <si>
    <t>81-5052739</t>
  </si>
  <si>
    <t>832-707-2629</t>
  </si>
  <si>
    <t>ACK Trans</t>
  </si>
  <si>
    <t>81-2698739</t>
  </si>
  <si>
    <t>215-678-9009</t>
  </si>
  <si>
    <t>ACL Logistics</t>
  </si>
  <si>
    <t>83-3964579</t>
  </si>
  <si>
    <t>702-934-2188</t>
  </si>
  <si>
    <t>ACL Trucking</t>
  </si>
  <si>
    <t>47-2267408</t>
  </si>
  <si>
    <t>714-894-5213</t>
  </si>
  <si>
    <t>ACM Trucking LLC</t>
  </si>
  <si>
    <t>82-4343940</t>
  </si>
  <si>
    <t>626-941-8085</t>
  </si>
  <si>
    <t>Acme Furniture Industry</t>
  </si>
  <si>
    <t>33-0140804</t>
  </si>
  <si>
    <t>626-964-3456</t>
  </si>
  <si>
    <t>ACME Logistics LLC</t>
  </si>
  <si>
    <t>83-3121110</t>
  </si>
  <si>
    <t>559-779-0234</t>
  </si>
  <si>
    <t>Acorn Tree LLC</t>
  </si>
  <si>
    <t>47-1841937</t>
  </si>
  <si>
    <t>817-526-1698</t>
  </si>
  <si>
    <t>Acosta Delivery  LLC</t>
  </si>
  <si>
    <t>85-2823731</t>
  </si>
  <si>
    <t>602-910-7071</t>
  </si>
  <si>
    <t>Acosta Enterprises</t>
  </si>
  <si>
    <t>43846</t>
  </si>
  <si>
    <t>95-4759335</t>
  </si>
  <si>
    <t>323-262-8047</t>
  </si>
  <si>
    <t>ACR Transport</t>
  </si>
  <si>
    <t>46-4601604</t>
  </si>
  <si>
    <t>253-666-0903</t>
  </si>
  <si>
    <t>Acro Precision</t>
  </si>
  <si>
    <t>42073</t>
  </si>
  <si>
    <t>95-4338737</t>
  </si>
  <si>
    <t>310-324-9922</t>
  </si>
  <si>
    <t>Across America</t>
  </si>
  <si>
    <t>32-0553950</t>
  </si>
  <si>
    <t>818-935-1290</t>
  </si>
  <si>
    <t>ACS Global Resources LLC</t>
  </si>
  <si>
    <t>83-0676590</t>
  </si>
  <si>
    <t>323-376-0903</t>
  </si>
  <si>
    <t>ACS Transport Corp</t>
  </si>
  <si>
    <t>84-4416783</t>
  </si>
  <si>
    <t>559-519-2176</t>
  </si>
  <si>
    <t>Action Auto Mart</t>
  </si>
  <si>
    <t>22822</t>
  </si>
  <si>
    <t>06-1447228</t>
  </si>
  <si>
    <t>Mark Sheib</t>
  </si>
  <si>
    <t>914-341-1414</t>
  </si>
  <si>
    <t>Action Enterprises of Pensacola LLC</t>
  </si>
  <si>
    <t>90-0465387</t>
  </si>
  <si>
    <t>APS Waste Service</t>
  </si>
  <si>
    <t>850-393-1950</t>
  </si>
  <si>
    <t>Action Landscape Services</t>
  </si>
  <si>
    <t>13-4206347</t>
  </si>
  <si>
    <t>Gerardo Becerril</t>
  </si>
  <si>
    <t>951-736-7776</t>
  </si>
  <si>
    <t>Action Messenger Services</t>
  </si>
  <si>
    <t>88-0384554</t>
  </si>
  <si>
    <t>702-798-9633</t>
  </si>
  <si>
    <t>Action Powder Coating LLC</t>
  </si>
  <si>
    <t>47-4961305</t>
  </si>
  <si>
    <t>858-566-2288</t>
  </si>
  <si>
    <t>Action Pumping</t>
  </si>
  <si>
    <t>95-3455196</t>
  </si>
  <si>
    <t>760-365-0861</t>
  </si>
  <si>
    <t>Action Waste Oil Services LLC</t>
  </si>
  <si>
    <t>34-1979501</t>
  </si>
  <si>
    <t>Action Wate Oil Service</t>
  </si>
  <si>
    <t>310-462-6922</t>
  </si>
  <si>
    <t>Action Wholesale Products</t>
  </si>
  <si>
    <t>33-0455860</t>
  </si>
  <si>
    <t>714-247-0100</t>
  </si>
  <si>
    <t>Action Wine &amp; Spirits USA LLC</t>
  </si>
  <si>
    <t>20-0507865</t>
  </si>
  <si>
    <t>20-050-7865</t>
  </si>
  <si>
    <t>424820</t>
  </si>
  <si>
    <t>Active Recycling Co</t>
  </si>
  <si>
    <t>95-3004852</t>
  </si>
  <si>
    <t>32-329-5774</t>
  </si>
  <si>
    <t>Active Transport LLC</t>
  </si>
  <si>
    <t>47-2241250</t>
  </si>
  <si>
    <t>818-472-7489</t>
  </si>
  <si>
    <t>Active Trucking LLC</t>
  </si>
  <si>
    <t>80-0815241</t>
  </si>
  <si>
    <t>757-358-5171</t>
  </si>
  <si>
    <t>Acueast</t>
  </si>
  <si>
    <t>44842</t>
  </si>
  <si>
    <t>82-0940605</t>
  </si>
  <si>
    <t>626-566-1345</t>
  </si>
  <si>
    <t>AD Cargo</t>
  </si>
  <si>
    <t>84-2295643</t>
  </si>
  <si>
    <t>714-613-3143</t>
  </si>
  <si>
    <t>AD Freight</t>
  </si>
  <si>
    <t>26-1310689</t>
  </si>
  <si>
    <t>A &amp; D Freight Systems</t>
  </si>
  <si>
    <t>623-252-7063</t>
  </si>
  <si>
    <t>AD Loyalty Transport</t>
  </si>
  <si>
    <t>47-5262125</t>
  </si>
  <si>
    <t>213-477-0226</t>
  </si>
  <si>
    <t>AD Pipeline</t>
  </si>
  <si>
    <t>20-2744924</t>
  </si>
  <si>
    <t>951-818-1831</t>
  </si>
  <si>
    <t>AD Shirley Jr</t>
  </si>
  <si>
    <t>25-6639369</t>
  </si>
  <si>
    <t>Rams Trucking</t>
  </si>
  <si>
    <t>706-300-4616</t>
  </si>
  <si>
    <t>AD Wilson</t>
  </si>
  <si>
    <t>95-2960749</t>
  </si>
  <si>
    <t>951-737-3822</t>
  </si>
  <si>
    <t>Ada Liseth Juarez</t>
  </si>
  <si>
    <t>62-1307111</t>
  </si>
  <si>
    <t>310-882-3597</t>
  </si>
  <si>
    <t>Adalberto  Bernal</t>
  </si>
  <si>
    <t>3566</t>
  </si>
  <si>
    <t>60-2181526</t>
  </si>
  <si>
    <t>626-786-1573</t>
  </si>
  <si>
    <t>Adalberto Chavana</t>
  </si>
  <si>
    <t>56-5796063</t>
  </si>
  <si>
    <t>661-369-6460</t>
  </si>
  <si>
    <t>Adalberto Sanchez Ocampo</t>
  </si>
  <si>
    <t>55-6973088</t>
  </si>
  <si>
    <t>Sanchez Trucking</t>
  </si>
  <si>
    <t>661-565-4868</t>
  </si>
  <si>
    <t>Adalberto Torres</t>
  </si>
  <si>
    <t>61-6437491</t>
  </si>
  <si>
    <t>805-757-1974</t>
  </si>
  <si>
    <t>48410</t>
  </si>
  <si>
    <t>Adalberto Ventura</t>
  </si>
  <si>
    <t>47320</t>
  </si>
  <si>
    <t>60-9621535</t>
  </si>
  <si>
    <t>559-709-6948</t>
  </si>
  <si>
    <t>Adam Bock Eckmann</t>
  </si>
  <si>
    <t>50-2022505</t>
  </si>
  <si>
    <t>701-578-4088</t>
  </si>
  <si>
    <t>Adam Clay Daniels</t>
  </si>
  <si>
    <t>41807</t>
  </si>
  <si>
    <t>30-2606544</t>
  </si>
  <si>
    <t>740-418-5529</t>
  </si>
  <si>
    <t>Adam Cornejo</t>
  </si>
  <si>
    <t>60-8247895</t>
  </si>
  <si>
    <t>Valley Pro Transport</t>
  </si>
  <si>
    <t>831-359-6251</t>
  </si>
  <si>
    <t>Adam Efren Nunez Ruiz</t>
  </si>
  <si>
    <t>31068</t>
  </si>
  <si>
    <t>58-2691387</t>
  </si>
  <si>
    <t>619-921-1722</t>
  </si>
  <si>
    <t>Adam Freight LLC</t>
  </si>
  <si>
    <t>85-2707297</t>
  </si>
  <si>
    <t>612-707-4537</t>
  </si>
  <si>
    <t>Adam ghrabi</t>
  </si>
  <si>
    <t>89-2733661</t>
  </si>
  <si>
    <t>860-869-4120</t>
  </si>
  <si>
    <t>Adam Guerrero</t>
  </si>
  <si>
    <t>61-1787656</t>
  </si>
  <si>
    <t>951-581-1777</t>
  </si>
  <si>
    <t>Adam Lathus</t>
  </si>
  <si>
    <t>32828</t>
  </si>
  <si>
    <t>32-4820798</t>
  </si>
  <si>
    <t>708-623-5381</t>
  </si>
  <si>
    <t>Adam Lee Cameron</t>
  </si>
  <si>
    <t>49-0867671</t>
  </si>
  <si>
    <t>951-283-9094</t>
  </si>
  <si>
    <t>Adam Mohamud</t>
  </si>
  <si>
    <t>30-1020698</t>
  </si>
  <si>
    <t>615-424-7361</t>
  </si>
  <si>
    <t>Adam Myers</t>
  </si>
  <si>
    <t>55-5555555</t>
  </si>
  <si>
    <t>309-363-6825</t>
  </si>
  <si>
    <t>Adam Nyahunguwo</t>
  </si>
  <si>
    <t>76-4321036</t>
  </si>
  <si>
    <t>407-738-8622</t>
  </si>
  <si>
    <t>Adam Quinten Miller</t>
  </si>
  <si>
    <t>23393</t>
  </si>
  <si>
    <t>49-6026763</t>
  </si>
  <si>
    <t>314-481-1756</t>
  </si>
  <si>
    <t>Adam Sharp</t>
  </si>
  <si>
    <t>41-3535294</t>
  </si>
  <si>
    <t>865-360-1623</t>
  </si>
  <si>
    <t>Adam Yomtov</t>
  </si>
  <si>
    <t>61-1259258</t>
  </si>
  <si>
    <t>818-231-0564</t>
  </si>
  <si>
    <t>Adam's Logisticorporated</t>
  </si>
  <si>
    <t>85-3525935</t>
  </si>
  <si>
    <t>540-717-6439</t>
  </si>
  <si>
    <t>Adame Trucking LLC</t>
  </si>
  <si>
    <t>37189</t>
  </si>
  <si>
    <t>81-4025719</t>
  </si>
  <si>
    <t>559-318-4101</t>
  </si>
  <si>
    <t>Adams 1 Express LLC</t>
  </si>
  <si>
    <t>82-2079543</t>
  </si>
  <si>
    <t>207-209-8750</t>
  </si>
  <si>
    <t>Adams Equipment</t>
  </si>
  <si>
    <t>46-3978501</t>
  </si>
  <si>
    <t>308-254-6322</t>
  </si>
  <si>
    <t>Adams Hay Company LLC</t>
  </si>
  <si>
    <t>46-1297448</t>
  </si>
  <si>
    <t>208-547-3363</t>
  </si>
  <si>
    <t>Adams Transport LLC</t>
  </si>
  <si>
    <t>08-3419400</t>
  </si>
  <si>
    <t>209-616-7588</t>
  </si>
  <si>
    <t>Adan Albarado Aguilar</t>
  </si>
  <si>
    <t>30194</t>
  </si>
  <si>
    <t>60-2094318</t>
  </si>
  <si>
    <t>626-712-9441</t>
  </si>
  <si>
    <t>Adan Argetas</t>
  </si>
  <si>
    <t>56-2836668</t>
  </si>
  <si>
    <t>760-780-3856</t>
  </si>
  <si>
    <t>Adan Bustos</t>
  </si>
  <si>
    <t>60-3310501</t>
  </si>
  <si>
    <t>562-587-2246</t>
  </si>
  <si>
    <t>Adan Centeno</t>
  </si>
  <si>
    <t>37164</t>
  </si>
  <si>
    <t>59-4953057</t>
  </si>
  <si>
    <t>909-275-2407</t>
  </si>
  <si>
    <t>Adan Centeno Jimenez</t>
  </si>
  <si>
    <t>55-8433763</t>
  </si>
  <si>
    <t>909-279-8994</t>
  </si>
  <si>
    <t>Adan Emilo Ordonez</t>
  </si>
  <si>
    <t>31669</t>
  </si>
  <si>
    <t>59-3511019</t>
  </si>
  <si>
    <t>Ordonez Trucking</t>
  </si>
  <si>
    <t>323-762-6612</t>
  </si>
  <si>
    <t>Adan Gabriel Gonzalez Lopez</t>
  </si>
  <si>
    <t>62-3187220</t>
  </si>
  <si>
    <t>619-653-0834</t>
  </si>
  <si>
    <t>Adan Juarez Rodriguez</t>
  </si>
  <si>
    <t>75-8388416</t>
  </si>
  <si>
    <t>323-997-3975</t>
  </si>
  <si>
    <t>Adan O Tinajera</t>
  </si>
  <si>
    <t>42026</t>
  </si>
  <si>
    <t>61-0185668</t>
  </si>
  <si>
    <t>323-631-3743</t>
  </si>
  <si>
    <t>Adan Penuelas-Machado</t>
  </si>
  <si>
    <t>54-4197228</t>
  </si>
  <si>
    <t>602-321-3475</t>
  </si>
  <si>
    <t>Adan Reyes Garza</t>
  </si>
  <si>
    <t>41766</t>
  </si>
  <si>
    <t>55-2114561</t>
  </si>
  <si>
    <t>760-698-1773</t>
  </si>
  <si>
    <t>Adan Rivas Pineda</t>
  </si>
  <si>
    <t>60-2174017</t>
  </si>
  <si>
    <t>310-200-8602</t>
  </si>
  <si>
    <t>Adan Rivera Sabilion</t>
  </si>
  <si>
    <t>61-4219863</t>
  </si>
  <si>
    <t>702-628-3019</t>
  </si>
  <si>
    <t>Adan Urizar</t>
  </si>
  <si>
    <t>55-3752509</t>
  </si>
  <si>
    <t>RV Trucking</t>
  </si>
  <si>
    <t>310-427-2020</t>
  </si>
  <si>
    <t>Adbe Jules</t>
  </si>
  <si>
    <t>77-0967578</t>
  </si>
  <si>
    <t>904-302-0957</t>
  </si>
  <si>
    <t>ADC Transport</t>
  </si>
  <si>
    <t>52408</t>
  </si>
  <si>
    <t>84-3584432</t>
  </si>
  <si>
    <t>323-894-8823</t>
  </si>
  <si>
    <t>Adcock Trucking and Sales</t>
  </si>
  <si>
    <t>64-0942216</t>
  </si>
  <si>
    <t>228-990-9122</t>
  </si>
  <si>
    <t>Add Express</t>
  </si>
  <si>
    <t>33-0624843</t>
  </si>
  <si>
    <t>619-661-0121</t>
  </si>
  <si>
    <t>ADD Transportation</t>
  </si>
  <si>
    <t>84-4771526</t>
  </si>
  <si>
    <t>916-833-1961</t>
  </si>
  <si>
    <t>Addams Family Transport</t>
  </si>
  <si>
    <t>31864</t>
  </si>
  <si>
    <t>46-1543553</t>
  </si>
  <si>
    <t>323-947-7093</t>
  </si>
  <si>
    <t>Addisalem Hikssa</t>
  </si>
  <si>
    <t>61-7701966</t>
  </si>
  <si>
    <t>916-248-5090</t>
  </si>
  <si>
    <t>Addison Giovanni Munoz</t>
  </si>
  <si>
    <t>52825</t>
  </si>
  <si>
    <t>61-4746568</t>
  </si>
  <si>
    <t>562-375-2329</t>
  </si>
  <si>
    <t>Addison Pools</t>
  </si>
  <si>
    <t>95-4682747</t>
  </si>
  <si>
    <t>818-205-9255</t>
  </si>
  <si>
    <t>Adebayo I Smith</t>
  </si>
  <si>
    <t>66-5301665</t>
  </si>
  <si>
    <t>318-652-7832</t>
  </si>
  <si>
    <t>Adelaido Vargas Lopez</t>
  </si>
  <si>
    <t>62-5143919</t>
  </si>
  <si>
    <t>530-838-0226</t>
  </si>
  <si>
    <t>Adelcar Transportation</t>
  </si>
  <si>
    <t>47840</t>
  </si>
  <si>
    <t>83-4507024</t>
  </si>
  <si>
    <t>310-293-2071</t>
  </si>
  <si>
    <t>Adelina</t>
  </si>
  <si>
    <t>82-0815807</t>
  </si>
  <si>
    <t>929-301-8017</t>
  </si>
  <si>
    <t>Adelso Garcia</t>
  </si>
  <si>
    <t>36858</t>
  </si>
  <si>
    <t>62-5525444</t>
  </si>
  <si>
    <t>Garcia Trucking</t>
  </si>
  <si>
    <t>562-228-9927</t>
  </si>
  <si>
    <t>Adelso Marchorro Orellana</t>
  </si>
  <si>
    <t>38865</t>
  </si>
  <si>
    <t>62-5624455</t>
  </si>
  <si>
    <t>909-258-1629</t>
  </si>
  <si>
    <t>Aderian Transportation</t>
  </si>
  <si>
    <t>87-1788447</t>
  </si>
  <si>
    <t>818-849-0878</t>
  </si>
  <si>
    <t>Adesanya C Riley</t>
  </si>
  <si>
    <t>07-0606573</t>
  </si>
  <si>
    <t>302-749-0081</t>
  </si>
  <si>
    <t>Adewole J Adeungboye</t>
  </si>
  <si>
    <t>71-8778654</t>
  </si>
  <si>
    <t>414-368-8636</t>
  </si>
  <si>
    <t>ADF Logistics</t>
  </si>
  <si>
    <t>85-2591034</t>
  </si>
  <si>
    <t>615-585-7310</t>
  </si>
  <si>
    <t>ADG Express</t>
  </si>
  <si>
    <t>38997</t>
  </si>
  <si>
    <t>82-2252316</t>
  </si>
  <si>
    <t>818-935-2828</t>
  </si>
  <si>
    <t>ADH Investments</t>
  </si>
  <si>
    <t>47-3414485</t>
  </si>
  <si>
    <t>209-951-3564</t>
  </si>
  <si>
    <t>Adhi Sivan Reddy</t>
  </si>
  <si>
    <t>61-4053925</t>
  </si>
  <si>
    <t>310-429-6509</t>
  </si>
  <si>
    <t>Adiel Coronel</t>
  </si>
  <si>
    <t>39887</t>
  </si>
  <si>
    <t>61-4889775</t>
  </si>
  <si>
    <t>San Diego Storage and Auto Transport</t>
  </si>
  <si>
    <t>619-395-5823</t>
  </si>
  <si>
    <t>Adiel Osmar Izaguirre Reyes</t>
  </si>
  <si>
    <t>62-0082620</t>
  </si>
  <si>
    <t>Ericka Izaguirre</t>
  </si>
  <si>
    <t>Erick Trucking</t>
  </si>
  <si>
    <t>626-399-2214</t>
  </si>
  <si>
    <t>Adil Gadid Hagar</t>
  </si>
  <si>
    <t>76-4447923</t>
  </si>
  <si>
    <t>602-518-6216</t>
  </si>
  <si>
    <t>Adin Alexander Gutierrez</t>
  </si>
  <si>
    <t>62-6529962</t>
  </si>
  <si>
    <t>Adin Gutierrez</t>
  </si>
  <si>
    <t>909-721-5187</t>
  </si>
  <si>
    <t>Adison Gibellato</t>
  </si>
  <si>
    <t>76-9644661</t>
  </si>
  <si>
    <t>407-601-8585</t>
  </si>
  <si>
    <t>ADJ Freight LLC</t>
  </si>
  <si>
    <t>35-2423839</t>
  </si>
  <si>
    <t>909-261-3806</t>
  </si>
  <si>
    <t>Adkins Grading &amp; Excavation</t>
  </si>
  <si>
    <t>20-4204669</t>
  </si>
  <si>
    <t>775-847-7097</t>
  </si>
  <si>
    <t>Adlunes Express</t>
  </si>
  <si>
    <t>46-4641525</t>
  </si>
  <si>
    <t>313-330-6536</t>
  </si>
  <si>
    <t>ADM Logistics</t>
  </si>
  <si>
    <t>47-4118737</t>
  </si>
  <si>
    <t>559-274-7349</t>
  </si>
  <si>
    <t>ADM Trucking Company LLC</t>
  </si>
  <si>
    <t>60-2258600</t>
  </si>
  <si>
    <t>323-532-9467</t>
  </si>
  <si>
    <t>Admasu Tezera Bekele</t>
  </si>
  <si>
    <t>57-9179565</t>
  </si>
  <si>
    <t>469-847-7056</t>
  </si>
  <si>
    <t>Admiral Delivery Solutions LLC</t>
  </si>
  <si>
    <t>37468</t>
  </si>
  <si>
    <t>46-5350762</t>
  </si>
  <si>
    <t>909-923-0333</t>
  </si>
  <si>
    <t>Admiral US LLC</t>
  </si>
  <si>
    <t>85-2339051</t>
  </si>
  <si>
    <t>415-988-8616</t>
  </si>
  <si>
    <t>ADMR LLC</t>
  </si>
  <si>
    <t>39540</t>
  </si>
  <si>
    <t>82-3522865</t>
  </si>
  <si>
    <t>786-531-9005</t>
  </si>
  <si>
    <t>Admrial Logistics LLC</t>
  </si>
  <si>
    <t>27-1235180</t>
  </si>
  <si>
    <t>Heydar Muradov</t>
  </si>
  <si>
    <t>410-245-4565</t>
  </si>
  <si>
    <t>MD</t>
  </si>
  <si>
    <t>ADN Logistic</t>
  </si>
  <si>
    <t>46454</t>
  </si>
  <si>
    <t>84-4040276</t>
  </si>
  <si>
    <t>559-320-5036</t>
  </si>
  <si>
    <t>Adnan Ali Shah</t>
  </si>
  <si>
    <t>62-2499590</t>
  </si>
  <si>
    <t>909-471-1695</t>
  </si>
  <si>
    <t>Adnan M Afaneh</t>
  </si>
  <si>
    <t>31051</t>
  </si>
  <si>
    <t>07-5840950</t>
  </si>
  <si>
    <t>Adnan M. Afaneh</t>
  </si>
  <si>
    <t>216-618-5903</t>
  </si>
  <si>
    <t>Adnan M Apanch</t>
  </si>
  <si>
    <t>Adnan Apanch</t>
  </si>
  <si>
    <t>Ado S Chanthavixay</t>
  </si>
  <si>
    <t>40118</t>
  </si>
  <si>
    <t>47-7942124</t>
  </si>
  <si>
    <t>972-207-0187</t>
  </si>
  <si>
    <t>Adolfo  Gonzalez</t>
  </si>
  <si>
    <t>23722</t>
  </si>
  <si>
    <t>62-6790986</t>
  </si>
  <si>
    <t>626-794-3205</t>
  </si>
  <si>
    <t>Adolfo Cristian Navarro</t>
  </si>
  <si>
    <t>44932</t>
  </si>
  <si>
    <t>60-2073559</t>
  </si>
  <si>
    <t>323-449-0040</t>
  </si>
  <si>
    <t>Adolfo H Hernandez</t>
  </si>
  <si>
    <t>23253</t>
  </si>
  <si>
    <t>63-3344984</t>
  </si>
  <si>
    <t>773-934-9496</t>
  </si>
  <si>
    <t>Adolfo I Portillo</t>
  </si>
  <si>
    <t>61-9181727</t>
  </si>
  <si>
    <t>Adolfo Portillo Trucking</t>
  </si>
  <si>
    <t>562-299-4404</t>
  </si>
  <si>
    <t>Adolfo Rivas Ramos</t>
  </si>
  <si>
    <t>74-2967038</t>
  </si>
  <si>
    <t>805-436-9514</t>
  </si>
  <si>
    <t>Adolfo Rogelio Avalos</t>
  </si>
  <si>
    <t>61-9641838</t>
  </si>
  <si>
    <t>619-386-0922</t>
  </si>
  <si>
    <t>Adolfo Rosiles Verduzco</t>
  </si>
  <si>
    <t>56-1251794</t>
  </si>
  <si>
    <t>602-348-3483</t>
  </si>
  <si>
    <t>Adolfo Salgado Alarcon</t>
  </si>
  <si>
    <t>61-4209166</t>
  </si>
  <si>
    <t>Alarcon Transport</t>
  </si>
  <si>
    <t>909-268-4783</t>
  </si>
  <si>
    <t>Adolfo Sillas</t>
  </si>
  <si>
    <t>55-0294098</t>
  </si>
  <si>
    <t>909-753-4782</t>
  </si>
  <si>
    <t>Adolphus Mayfield</t>
  </si>
  <si>
    <t>46-4430682</t>
  </si>
  <si>
    <t>562-346-7337</t>
  </si>
  <si>
    <t>Adonai Logistics</t>
  </si>
  <si>
    <t>42869</t>
  </si>
  <si>
    <t>83-3528751</t>
  </si>
  <si>
    <t>909-578-3103</t>
  </si>
  <si>
    <t>Adonai Transportation</t>
  </si>
  <si>
    <t>52148</t>
  </si>
  <si>
    <t>86-3161838</t>
  </si>
  <si>
    <t>626-840-7112</t>
  </si>
  <si>
    <t>Adonis Antonio Santamaria</t>
  </si>
  <si>
    <t>59-3964498</t>
  </si>
  <si>
    <t>702-861-2579</t>
  </si>
  <si>
    <t>Adonis Lebron</t>
  </si>
  <si>
    <t>60-2345483</t>
  </si>
  <si>
    <t>213-618-2711</t>
  </si>
  <si>
    <t>Adonis Lutgardo Fuentes</t>
  </si>
  <si>
    <t>30206</t>
  </si>
  <si>
    <t>62-5463643</t>
  </si>
  <si>
    <t>818-484-1402</t>
  </si>
  <si>
    <t>Adonis Ruenes</t>
  </si>
  <si>
    <t>32122</t>
  </si>
  <si>
    <t>51-6359903</t>
  </si>
  <si>
    <t>214-436-0123</t>
  </si>
  <si>
    <t>Adonis Saravia</t>
  </si>
  <si>
    <t>62-2305420</t>
  </si>
  <si>
    <t>818-272-7339</t>
  </si>
  <si>
    <t>Adra M Hubbard</t>
  </si>
  <si>
    <t>95-3411559</t>
  </si>
  <si>
    <t>Hubbard</t>
  </si>
  <si>
    <t>909-518-8776</t>
  </si>
  <si>
    <t>Adrain L Gaines</t>
  </si>
  <si>
    <t>23419</t>
  </si>
  <si>
    <t>25-8573726</t>
  </si>
  <si>
    <t>770-941-3867</t>
  </si>
  <si>
    <t>Adrey Pustynovich</t>
  </si>
  <si>
    <t>21-2471485</t>
  </si>
  <si>
    <t>Andrey Pustnovich</t>
  </si>
  <si>
    <t>856-297-5397</t>
  </si>
  <si>
    <t>Adria</t>
  </si>
  <si>
    <t>16-1736014</t>
  </si>
  <si>
    <t>951-500-0912</t>
  </si>
  <si>
    <t>Adrian Alberto Nieblas Perez</t>
  </si>
  <si>
    <t>62-0947536</t>
  </si>
  <si>
    <t>661-778-7363</t>
  </si>
  <si>
    <t>Adrian Amitesh Singh</t>
  </si>
  <si>
    <t>45177</t>
  </si>
  <si>
    <t>47-3934153</t>
  </si>
  <si>
    <t>Golden Boy Trucking</t>
  </si>
  <si>
    <t>925-250-6042</t>
  </si>
  <si>
    <t>Adrian Arturo Garcia</t>
  </si>
  <si>
    <t>61-7623774</t>
  </si>
  <si>
    <t>520-288-5321</t>
  </si>
  <si>
    <t>Adrian Cordell Calhoun</t>
  </si>
  <si>
    <t>45-4811457</t>
  </si>
  <si>
    <t>214-868-9011</t>
  </si>
  <si>
    <t>Adrian Coronel</t>
  </si>
  <si>
    <t>54-8414559</t>
  </si>
  <si>
    <t>760-559-0514</t>
  </si>
  <si>
    <t>Adrian Cruz</t>
  </si>
  <si>
    <t>83-3161005</t>
  </si>
  <si>
    <t>CC Transportation</t>
  </si>
  <si>
    <t>619-929-4979</t>
  </si>
  <si>
    <t>Adrian Dallas</t>
  </si>
  <si>
    <t>44-0987180</t>
  </si>
  <si>
    <t>580-660-6622</t>
  </si>
  <si>
    <t>Adrian Daniel Cirja</t>
  </si>
  <si>
    <t>28-9859004</t>
  </si>
  <si>
    <t>619-592-5495</t>
  </si>
  <si>
    <t>Adrian De Lira Rodriguez</t>
  </si>
  <si>
    <t>47759</t>
  </si>
  <si>
    <t>35-9089304</t>
  </si>
  <si>
    <t>661-586-0711</t>
  </si>
  <si>
    <t>Adrian Derrald Walton</t>
  </si>
  <si>
    <t>33156</t>
  </si>
  <si>
    <t>25-8274819</t>
  </si>
  <si>
    <t>478-206-8829</t>
  </si>
  <si>
    <t>Adrian Diaz Duran</t>
  </si>
  <si>
    <t>47706</t>
  </si>
  <si>
    <t>62-2143403</t>
  </si>
  <si>
    <t>323-239-9016</t>
  </si>
  <si>
    <t>Adrian Escalera Garcia</t>
  </si>
  <si>
    <t>61-4026124</t>
  </si>
  <si>
    <t>661-428-2670</t>
  </si>
  <si>
    <t>Adrian Ibarra</t>
  </si>
  <si>
    <t>31778</t>
  </si>
  <si>
    <t>62-0246714</t>
  </si>
  <si>
    <t>209-423-9553</t>
  </si>
  <si>
    <t>Adrian Jennings</t>
  </si>
  <si>
    <t>24-8632871</t>
  </si>
  <si>
    <t>803-387-8871</t>
  </si>
  <si>
    <t>Adrian L Elias</t>
  </si>
  <si>
    <t>52-2830472</t>
  </si>
  <si>
    <t>720-550-3588</t>
  </si>
  <si>
    <t>Adrian Limousines LLC</t>
  </si>
  <si>
    <t>50073</t>
  </si>
  <si>
    <t>81-3358546</t>
  </si>
  <si>
    <t>Adrian Logistics</t>
  </si>
  <si>
    <t>424-249-2519</t>
  </si>
  <si>
    <t>Adrian Linares</t>
  </si>
  <si>
    <t>44-9734789</t>
  </si>
  <si>
    <t>480-720-6720</t>
  </si>
  <si>
    <t>Adrian Martin</t>
  </si>
  <si>
    <t>87-1982052</t>
  </si>
  <si>
    <t>Chase a Bag</t>
  </si>
  <si>
    <t>504-544-3836</t>
  </si>
  <si>
    <t>Adrian P Matthews</t>
  </si>
  <si>
    <t>37-9948526</t>
  </si>
  <si>
    <t>313-485-4076</t>
  </si>
  <si>
    <t>Adrian Pacheco</t>
  </si>
  <si>
    <t>84-2849644</t>
  </si>
  <si>
    <t>R and G Trucking</t>
  </si>
  <si>
    <t>209-458-9499</t>
  </si>
  <si>
    <t>Adrian Palafox</t>
  </si>
  <si>
    <t>38232</t>
  </si>
  <si>
    <t>54-8997493</t>
  </si>
  <si>
    <t>323-482-0295</t>
  </si>
  <si>
    <t>Adrian Perez</t>
  </si>
  <si>
    <t>34472</t>
  </si>
  <si>
    <t>61-1047342</t>
  </si>
  <si>
    <t>805-512-0639</t>
  </si>
  <si>
    <t>Adrian R Roman</t>
  </si>
  <si>
    <t>60-7548618</t>
  </si>
  <si>
    <t>619-921-0819</t>
  </si>
  <si>
    <t>Adrian Ramirez</t>
  </si>
  <si>
    <t>52478</t>
  </si>
  <si>
    <t>60-8289353</t>
  </si>
  <si>
    <t>510-266-2459</t>
  </si>
  <si>
    <t>Adrian Renteria</t>
  </si>
  <si>
    <t>57-1438090</t>
  </si>
  <si>
    <t>559-827-9129</t>
  </si>
  <si>
    <t>Adrian Rojo</t>
  </si>
  <si>
    <t>60-6463845</t>
  </si>
  <si>
    <t>661-401-4328</t>
  </si>
  <si>
    <t>Adrian Romero Escalante</t>
  </si>
  <si>
    <t>61-2104401</t>
  </si>
  <si>
    <t>626-632-0100</t>
  </si>
  <si>
    <t>Adrian Rosales</t>
  </si>
  <si>
    <t>60-2041773</t>
  </si>
  <si>
    <t>818-689-0162</t>
  </si>
  <si>
    <t>Adrian Salazar Satrustegui</t>
  </si>
  <si>
    <t>87-5771523</t>
  </si>
  <si>
    <t>510-927-8172</t>
  </si>
  <si>
    <t>Adrian Silva</t>
  </si>
  <si>
    <t>55-1896987</t>
  </si>
  <si>
    <t>831-905-7426</t>
  </si>
  <si>
    <t>60-4804952</t>
  </si>
  <si>
    <t>323-742-4225</t>
  </si>
  <si>
    <t>Adrian Torres Armenta</t>
  </si>
  <si>
    <t>62-5233792</t>
  </si>
  <si>
    <t>909-213-1426</t>
  </si>
  <si>
    <t>Adrian Travis Gideon</t>
  </si>
  <si>
    <t>30731</t>
  </si>
  <si>
    <t>62-0723107</t>
  </si>
  <si>
    <t>310-904-2673</t>
  </si>
  <si>
    <t>Adrian Trochelman</t>
  </si>
  <si>
    <t>29-4780703</t>
  </si>
  <si>
    <t>937-716-4704</t>
  </si>
  <si>
    <t>Adrian Trucking</t>
  </si>
  <si>
    <t>39123</t>
  </si>
  <si>
    <t>46-3895010</t>
  </si>
  <si>
    <t>623-986-4014</t>
  </si>
  <si>
    <t>Adrian Zuniga Colin</t>
  </si>
  <si>
    <t>62-4215676</t>
  </si>
  <si>
    <t>Colin Trucking</t>
  </si>
  <si>
    <t>818-935-0964</t>
  </si>
  <si>
    <t>Adrian's Transport</t>
  </si>
  <si>
    <t>38356</t>
  </si>
  <si>
    <t>82-1786538</t>
  </si>
  <si>
    <t>951-566-6419</t>
  </si>
  <si>
    <t>Adriana G Carmona</t>
  </si>
  <si>
    <t>60-4562279</t>
  </si>
  <si>
    <t>310-981-5166</t>
  </si>
  <si>
    <t>Adriana Garcia</t>
  </si>
  <si>
    <t>60-2271748</t>
  </si>
  <si>
    <t>213-915-7318</t>
  </si>
  <si>
    <t>Adrien Montes</t>
  </si>
  <si>
    <t>61-7241592</t>
  </si>
  <si>
    <t>562-547-5519</t>
  </si>
  <si>
    <t>Adrienne Jackson</t>
  </si>
  <si>
    <t>31-4763738</t>
  </si>
  <si>
    <t>317-457-7745</t>
  </si>
  <si>
    <t>ADS Transportation LLC</t>
  </si>
  <si>
    <t>36490</t>
  </si>
  <si>
    <t>46-3164330</t>
  </si>
  <si>
    <t>562-216-3317</t>
  </si>
  <si>
    <t>ADS USA</t>
  </si>
  <si>
    <t>84-3561869</t>
  </si>
  <si>
    <t>773-240-5122</t>
  </si>
  <si>
    <t>Adson Dorgilus</t>
  </si>
  <si>
    <t>51005</t>
  </si>
  <si>
    <t>77-2725761</t>
  </si>
  <si>
    <t>561-292-8026</t>
  </si>
  <si>
    <t>Adsumus Transport LLC</t>
  </si>
  <si>
    <t>83-0906360</t>
  </si>
  <si>
    <t>347-830-1134</t>
  </si>
  <si>
    <t>Advance Direct Group</t>
  </si>
  <si>
    <t>34952</t>
  </si>
  <si>
    <t>27-0570654</t>
  </si>
  <si>
    <t>626-348-9306</t>
  </si>
  <si>
    <t>Advance Disposal</t>
  </si>
  <si>
    <t>31430</t>
  </si>
  <si>
    <t>61-1478501</t>
  </si>
  <si>
    <t>916-444-8676</t>
  </si>
  <si>
    <t>Advance Logistics Team</t>
  </si>
  <si>
    <t>43976</t>
  </si>
  <si>
    <t>84-2981195</t>
  </si>
  <si>
    <t>909-455-8543</t>
  </si>
  <si>
    <t>Advanced Cargo</t>
  </si>
  <si>
    <t>34923</t>
  </si>
  <si>
    <t>26-2803048</t>
  </si>
  <si>
    <t>650-552-9888</t>
  </si>
  <si>
    <t>Advanced Container Logistics</t>
  </si>
  <si>
    <t>81-1344547</t>
  </si>
  <si>
    <t>323-828-0966</t>
  </si>
  <si>
    <t>Advanced Infrastructure Technologies LLC</t>
  </si>
  <si>
    <t>95-4889508</t>
  </si>
  <si>
    <t>310-534-4000</t>
  </si>
  <si>
    <t>Advanced Intermodal</t>
  </si>
  <si>
    <t>46-3725689</t>
  </si>
  <si>
    <t>909-491-2397</t>
  </si>
  <si>
    <t>Advanced Logistic Solutions LLC</t>
  </si>
  <si>
    <t>45-3049779</t>
  </si>
  <si>
    <t>Ron Din</t>
  </si>
  <si>
    <t>310-989-9308</t>
  </si>
  <si>
    <t>Advanced Logistics Solutions LLC</t>
  </si>
  <si>
    <t>Advanced Logistix Corp</t>
  </si>
  <si>
    <t>46-0743705</t>
  </si>
  <si>
    <t>949-325-3041</t>
  </si>
  <si>
    <t>Advanced Multimodal Distribution</t>
  </si>
  <si>
    <t>82-2638830</t>
  </si>
  <si>
    <t>909-247-8667</t>
  </si>
  <si>
    <t>Advanced Pallet</t>
  </si>
  <si>
    <t>45-2725336</t>
  </si>
  <si>
    <t>209-303-7722</t>
  </si>
  <si>
    <t>Advanced Property Pros LLC</t>
  </si>
  <si>
    <t>46-2268941</t>
  </si>
  <si>
    <t>401-327-0114</t>
  </si>
  <si>
    <t>Advanced Steel Recovery LLC</t>
  </si>
  <si>
    <t>95-4715938</t>
  </si>
  <si>
    <t>909-355-2372</t>
  </si>
  <si>
    <t>Advanced Transport Logistics</t>
  </si>
  <si>
    <t>50856</t>
  </si>
  <si>
    <t>84-3112686</t>
  </si>
  <si>
    <t>909-687-5400</t>
  </si>
  <si>
    <t>AdvancedSquad LLC</t>
  </si>
  <si>
    <t>31462</t>
  </si>
  <si>
    <t>30-0765051</t>
  </si>
  <si>
    <t>717-468-6362</t>
  </si>
  <si>
    <t>Advantage Mailing LLC</t>
  </si>
  <si>
    <t>41229</t>
  </si>
  <si>
    <t>33-0986140</t>
  </si>
  <si>
    <t>Advantage</t>
  </si>
  <si>
    <t>714-538-3881</t>
  </si>
  <si>
    <t>Adventurous Spirit Transport</t>
  </si>
  <si>
    <t>43888</t>
  </si>
  <si>
    <t>83-4692349</t>
  </si>
  <si>
    <t>805-340-1246</t>
  </si>
  <si>
    <t>Advin Udiel Jimenez Lopez</t>
  </si>
  <si>
    <t>35031</t>
  </si>
  <si>
    <t>62-6569363</t>
  </si>
  <si>
    <t>909-806-0103</t>
  </si>
  <si>
    <t>ADZ Trucking</t>
  </si>
  <si>
    <t>85-4463106</t>
  </si>
  <si>
    <t>626-873-5578</t>
  </si>
  <si>
    <t>Aegean Breeze Express LLC</t>
  </si>
  <si>
    <t>81-0948503</t>
  </si>
  <si>
    <t>805-212-6830</t>
  </si>
  <si>
    <t>AEM Trucking &amp; Logistics LLC</t>
  </si>
  <si>
    <t>82-5136312</t>
  </si>
  <si>
    <t>404-424-3925</t>
  </si>
  <si>
    <t>AEMG Transport LLC</t>
  </si>
  <si>
    <t>81-4115933</t>
  </si>
  <si>
    <t>951-867-2315</t>
  </si>
  <si>
    <t>AEMK</t>
  </si>
  <si>
    <t>85-2577216</t>
  </si>
  <si>
    <t>702-883-1808</t>
  </si>
  <si>
    <t>Aeon Trucking</t>
  </si>
  <si>
    <t>38-2671541</t>
  </si>
  <si>
    <t>951-428-8302</t>
  </si>
  <si>
    <t>AER Logistics LLC</t>
  </si>
  <si>
    <t>52399</t>
  </si>
  <si>
    <t>86-3602200</t>
  </si>
  <si>
    <t>520-281-9109</t>
  </si>
  <si>
    <t>Aeria Transport</t>
  </si>
  <si>
    <t>37526</t>
  </si>
  <si>
    <t>47-5643015</t>
  </si>
  <si>
    <t>626-863-6402</t>
  </si>
  <si>
    <t>Aero Pure Water LLC</t>
  </si>
  <si>
    <t>83-2630714</t>
  </si>
  <si>
    <t>209-649-8543</t>
  </si>
  <si>
    <t>Aero Transpros LLC</t>
  </si>
  <si>
    <t>48457</t>
  </si>
  <si>
    <t>85-3248739</t>
  </si>
  <si>
    <t>909-682-2718</t>
  </si>
  <si>
    <t>Aeroeed LLC</t>
  </si>
  <si>
    <t>46-5757324</t>
  </si>
  <si>
    <t>213-748-5118</t>
  </si>
  <si>
    <t>Aerojet Rocketdyne</t>
  </si>
  <si>
    <t>95-1751500</t>
  </si>
  <si>
    <t>916-955-4984</t>
  </si>
  <si>
    <t>336415</t>
  </si>
  <si>
    <t>Aeromed LTD</t>
  </si>
  <si>
    <t>06-1132462</t>
  </si>
  <si>
    <t>860-659-0602</t>
  </si>
  <si>
    <t>Aeroship LLC</t>
  </si>
  <si>
    <t>83-1676425</t>
  </si>
  <si>
    <t>562-310-6814</t>
  </si>
  <si>
    <t>AeroStar Global Holdings LLC</t>
  </si>
  <si>
    <t>37930</t>
  </si>
  <si>
    <t>81-3065170</t>
  </si>
  <si>
    <t>488510</t>
  </si>
  <si>
    <t>AET Limo LLC</t>
  </si>
  <si>
    <t>81-3210028</t>
  </si>
  <si>
    <t>310-590-5392</t>
  </si>
  <si>
    <t>AF Swift Transportation</t>
  </si>
  <si>
    <t>49188</t>
  </si>
  <si>
    <t>84-2523588</t>
  </si>
  <si>
    <t>540-424-9262</t>
  </si>
  <si>
    <t>VA</t>
  </si>
  <si>
    <t>AFC Trucking</t>
  </si>
  <si>
    <t>85-0576478</t>
  </si>
  <si>
    <t>626-328-0998</t>
  </si>
  <si>
    <t>AFFA Transport LLC</t>
  </si>
  <si>
    <t>81-5210697</t>
  </si>
  <si>
    <t>760-684-9290</t>
  </si>
  <si>
    <t>Affirmative Auto Transport LLC</t>
  </si>
  <si>
    <t>26-1795859</t>
  </si>
  <si>
    <t>951-500-5262</t>
  </si>
  <si>
    <t>Affordable 7 Stars LLC</t>
  </si>
  <si>
    <t>45675</t>
  </si>
  <si>
    <t>82-4294863</t>
  </si>
  <si>
    <t>480-404-3537</t>
  </si>
  <si>
    <t>Affordable Logistics</t>
  </si>
  <si>
    <t>39088</t>
  </si>
  <si>
    <t>46-2197843</t>
  </si>
  <si>
    <t>909-728-1187</t>
  </si>
  <si>
    <t>Affordable Office Solutions</t>
  </si>
  <si>
    <t>81-1242603</t>
  </si>
  <si>
    <t>775-622-9566</t>
  </si>
  <si>
    <t>Affordable Quality Carpet Cleaning LLC</t>
  </si>
  <si>
    <t>47025</t>
  </si>
  <si>
    <t>45-3592572</t>
  </si>
  <si>
    <t>Affordable Quality Transport</t>
  </si>
  <si>
    <t>623-760-4537</t>
  </si>
  <si>
    <t>AFG Bros Transportation LLC</t>
  </si>
  <si>
    <t>82-2304527</t>
  </si>
  <si>
    <t>602-373-7122</t>
  </si>
  <si>
    <t>AFJ Transportation</t>
  </si>
  <si>
    <t>32857</t>
  </si>
  <si>
    <t>46-1248568</t>
  </si>
  <si>
    <t>909-644-0449</t>
  </si>
  <si>
    <t>AFM Transportation</t>
  </si>
  <si>
    <t>46-4206769</t>
  </si>
  <si>
    <t>916-365-7217</t>
  </si>
  <si>
    <t>Africk Tank Lines</t>
  </si>
  <si>
    <t>46-4488235</t>
  </si>
  <si>
    <t>702-759-5498</t>
  </si>
  <si>
    <t>Afrika Erminia Campbell</t>
  </si>
  <si>
    <t>10-7508529</t>
  </si>
  <si>
    <t>714-866-6234</t>
  </si>
  <si>
    <t>Afroditi Kandias</t>
  </si>
  <si>
    <t>61-3880577</t>
  </si>
  <si>
    <t>909-332-8585</t>
  </si>
  <si>
    <t>AFS Investments LLC</t>
  </si>
  <si>
    <t>37293</t>
  </si>
  <si>
    <t>56-2461374</t>
  </si>
  <si>
    <t>LMS Transport</t>
  </si>
  <si>
    <t>951-616-3828</t>
  </si>
  <si>
    <t>AFS Logistics LLC</t>
  </si>
  <si>
    <t>46590</t>
  </si>
  <si>
    <t>83-4148709</t>
  </si>
  <si>
    <t>559-903-2895</t>
  </si>
  <si>
    <t>AFS Transport</t>
  </si>
  <si>
    <t>84-4522353</t>
  </si>
  <si>
    <t>615-477-7895</t>
  </si>
  <si>
    <t>AFS Transport LLC</t>
  </si>
  <si>
    <t>83-2072709</t>
  </si>
  <si>
    <t>888-992-4413</t>
  </si>
  <si>
    <t>Afshin Trucking</t>
  </si>
  <si>
    <t>81-2570414</t>
  </si>
  <si>
    <t>916-968-2123</t>
  </si>
  <si>
    <t>AG &amp; Sons Rolloff Services</t>
  </si>
  <si>
    <t>44178</t>
  </si>
  <si>
    <t>82-1631770</t>
  </si>
  <si>
    <t>760-586-4947</t>
  </si>
  <si>
    <t>AG Carriers LLC</t>
  </si>
  <si>
    <t>42791</t>
  </si>
  <si>
    <t>81-4532168</t>
  </si>
  <si>
    <t>760-427-4822</t>
  </si>
  <si>
    <t>AG Equipment LLC</t>
  </si>
  <si>
    <t>47-2072155</t>
  </si>
  <si>
    <t>831-676-3833</t>
  </si>
  <si>
    <t>AG Machining</t>
  </si>
  <si>
    <t>40795</t>
  </si>
  <si>
    <t>77-0531821</t>
  </si>
  <si>
    <t>805-531-9555</t>
  </si>
  <si>
    <t>Ag Needs</t>
  </si>
  <si>
    <t>16-1632510</t>
  </si>
  <si>
    <t>435-258-2015</t>
  </si>
  <si>
    <t>AG Pro Truck &amp; Trailer Company</t>
  </si>
  <si>
    <t>82-4779251</t>
  </si>
  <si>
    <t>509-544-6653</t>
  </si>
  <si>
    <t>AG RX</t>
  </si>
  <si>
    <t>77-0329972</t>
  </si>
  <si>
    <t>805-487-0696</t>
  </si>
  <si>
    <t>325311</t>
  </si>
  <si>
    <t>AG Services LLC</t>
  </si>
  <si>
    <t>82-1169893</t>
  </si>
  <si>
    <t>509-396-1477</t>
  </si>
  <si>
    <t>AG Trucklines</t>
  </si>
  <si>
    <t>83-3067446</t>
  </si>
  <si>
    <t>559-803-1314</t>
  </si>
  <si>
    <t>AG Warehouse &amp; Truck Parking LLC</t>
  </si>
  <si>
    <t>42186</t>
  </si>
  <si>
    <t>46-3035107</t>
  </si>
  <si>
    <t>760-357-0991</t>
  </si>
  <si>
    <t>AG&amp;S Logistics LLC</t>
  </si>
  <si>
    <t>82-2441794</t>
  </si>
  <si>
    <t>602-312-3501</t>
  </si>
  <si>
    <t>AGA Transport LLC</t>
  </si>
  <si>
    <t>83-1487883</t>
  </si>
  <si>
    <t>928-246-3467</t>
  </si>
  <si>
    <t>Agam Hauler</t>
  </si>
  <si>
    <t>85-3354184</t>
  </si>
  <si>
    <t>559-301-4494</t>
  </si>
  <si>
    <t>Agam Trans</t>
  </si>
  <si>
    <t>51236</t>
  </si>
  <si>
    <t>83-4030055</t>
  </si>
  <si>
    <t>718-844-1295</t>
  </si>
  <si>
    <t>Agam Transport</t>
  </si>
  <si>
    <t>83-3395584</t>
  </si>
  <si>
    <t>209-715-2587</t>
  </si>
  <si>
    <t>Agam Trucking</t>
  </si>
  <si>
    <t>82-2035286</t>
  </si>
  <si>
    <t>530-310-6528</t>
  </si>
  <si>
    <t>Agape Logistics</t>
  </si>
  <si>
    <t>20-2837712</t>
  </si>
  <si>
    <t>562-394-3643</t>
  </si>
  <si>
    <t>Agat LLC</t>
  </si>
  <si>
    <t>86-3255094</t>
  </si>
  <si>
    <t>916-296-4572</t>
  </si>
  <si>
    <t>Agave Transportation</t>
  </si>
  <si>
    <t>53158</t>
  </si>
  <si>
    <t>87-1419741</t>
  </si>
  <si>
    <t>951-655-0348</t>
  </si>
  <si>
    <t>Agazen Transportation LLC</t>
  </si>
  <si>
    <t>84-3895850</t>
  </si>
  <si>
    <t>951-660-4706</t>
  </si>
  <si>
    <t>Agazy Tsegai Tewoldeberhan</t>
  </si>
  <si>
    <t>60-6664647</t>
  </si>
  <si>
    <t>707-235-9388</t>
  </si>
  <si>
    <t>AGB Express</t>
  </si>
  <si>
    <t>50767</t>
  </si>
  <si>
    <t>86-2235334</t>
  </si>
  <si>
    <t>702-955-0804</t>
  </si>
  <si>
    <t>AGD Flex Transport LLC</t>
  </si>
  <si>
    <t>85-1362992</t>
  </si>
  <si>
    <t>602-332-6897</t>
  </si>
  <si>
    <t>Aggiapal Singh</t>
  </si>
  <si>
    <t>40267</t>
  </si>
  <si>
    <t>66-1731751</t>
  </si>
  <si>
    <t>661-330-0220</t>
  </si>
  <si>
    <t>Aggressive Engineering Corp</t>
  </si>
  <si>
    <t>95-2564728</t>
  </si>
  <si>
    <t>714-995-8313</t>
  </si>
  <si>
    <t>AGH Truck Lines</t>
  </si>
  <si>
    <t>48905</t>
  </si>
  <si>
    <t>81-5352637</t>
  </si>
  <si>
    <t>209-640-7851</t>
  </si>
  <si>
    <t>Aghasi  Grigoryan</t>
  </si>
  <si>
    <t>30146</t>
  </si>
  <si>
    <t>61-4848768</t>
  </si>
  <si>
    <t>323-960-0979</t>
  </si>
  <si>
    <t>Agility Riggs LLC</t>
  </si>
  <si>
    <t>84-4556735</t>
  </si>
  <si>
    <t>415-463-0822</t>
  </si>
  <si>
    <t>AGL Transportation</t>
  </si>
  <si>
    <t>81-3596908</t>
  </si>
  <si>
    <t>818-802-9959</t>
  </si>
  <si>
    <t>Agler Livestock Trucking LLC</t>
  </si>
  <si>
    <t>52-2457554</t>
  </si>
  <si>
    <t>419-234-3444</t>
  </si>
  <si>
    <t>AGM Delivery</t>
  </si>
  <si>
    <t>81-1368986</t>
  </si>
  <si>
    <t>818-442-2919</t>
  </si>
  <si>
    <t>AGomez Trucking</t>
  </si>
  <si>
    <t>08-2122010</t>
  </si>
  <si>
    <t>909-854-4413</t>
  </si>
  <si>
    <t>Agpro</t>
  </si>
  <si>
    <t>50808</t>
  </si>
  <si>
    <t>27-2275394</t>
  </si>
  <si>
    <t>805-689-5695</t>
  </si>
  <si>
    <t>424110</t>
  </si>
  <si>
    <t>AGR Logistics</t>
  </si>
  <si>
    <t>46-1950930</t>
  </si>
  <si>
    <t>916-798-9868</t>
  </si>
  <si>
    <t>AGR Transportation LLC</t>
  </si>
  <si>
    <t>62-6059946</t>
  </si>
  <si>
    <t>702-741-1044</t>
  </si>
  <si>
    <t>Agri-Comm Express</t>
  </si>
  <si>
    <t>77-0086438</t>
  </si>
  <si>
    <t>951-739-2400</t>
  </si>
  <si>
    <t>Agricultural Computerized Technology</t>
  </si>
  <si>
    <t>77-0529186</t>
  </si>
  <si>
    <t>805-487-9434</t>
  </si>
  <si>
    <t>333111</t>
  </si>
  <si>
    <t>Agritec International LTD</t>
  </si>
  <si>
    <t>39-1724264</t>
  </si>
  <si>
    <t>Cleantech Environmental</t>
  </si>
  <si>
    <t>626-812-7200</t>
  </si>
  <si>
    <t>562112</t>
  </si>
  <si>
    <t>Agromin OC LLC</t>
  </si>
  <si>
    <t>36968</t>
  </si>
  <si>
    <t>80-0240475</t>
  </si>
  <si>
    <t>805-485-9200</t>
  </si>
  <si>
    <t>Agropac International</t>
  </si>
  <si>
    <t>47-1954680</t>
  </si>
  <si>
    <t>213-254-7593</t>
  </si>
  <si>
    <t>Agshin Abbasov</t>
  </si>
  <si>
    <t>65-3487852</t>
  </si>
  <si>
    <t>773-963-4784 - 773-963-4784</t>
  </si>
  <si>
    <t>Aguilera Services</t>
  </si>
  <si>
    <t>46470</t>
  </si>
  <si>
    <t>84-2711967</t>
  </si>
  <si>
    <t>805-947-7613</t>
  </si>
  <si>
    <t>Aguilera's Trucking LLC</t>
  </si>
  <si>
    <t>49259</t>
  </si>
  <si>
    <t>84-2043067</t>
  </si>
  <si>
    <t>623-999-5355</t>
  </si>
  <si>
    <t>Aguirre Transportation</t>
  </si>
  <si>
    <t>60-3906912</t>
  </si>
  <si>
    <t>213-905-0352</t>
  </si>
  <si>
    <t>Agustin Arroyo</t>
  </si>
  <si>
    <t>62-2341617</t>
  </si>
  <si>
    <t>951-488-6544</t>
  </si>
  <si>
    <t>484100</t>
  </si>
  <si>
    <t>Agustin Delgado</t>
  </si>
  <si>
    <t>37684</t>
  </si>
  <si>
    <t>60-2185806</t>
  </si>
  <si>
    <t>559-203-4661</t>
  </si>
  <si>
    <t>Agustin Fragosa Munoz and Gabriel J Fragosa</t>
  </si>
  <si>
    <t>46-2303161</t>
  </si>
  <si>
    <t>Primeland Trucking</t>
  </si>
  <si>
    <t>714-501-5542</t>
  </si>
  <si>
    <t>Agustin Gaeta Urena</t>
  </si>
  <si>
    <t>73-3227694</t>
  </si>
  <si>
    <t>Horse Power Transport</t>
  </si>
  <si>
    <t>951-796-8487</t>
  </si>
  <si>
    <t>Agustin Gonzalez</t>
  </si>
  <si>
    <t>60-5602907</t>
  </si>
  <si>
    <t>559-289-4256</t>
  </si>
  <si>
    <t>Agustin Herrera</t>
  </si>
  <si>
    <t>62-6104545</t>
  </si>
  <si>
    <t>805-469-0403</t>
  </si>
  <si>
    <t>Agustin Jaime Zamora</t>
  </si>
  <si>
    <t>60-2147801</t>
  </si>
  <si>
    <t>714-833-6050</t>
  </si>
  <si>
    <t>Agustin Juarez Alamilla</t>
  </si>
  <si>
    <t>33498</t>
  </si>
  <si>
    <t>57-1216792</t>
  </si>
  <si>
    <t>Pescadores Transport</t>
  </si>
  <si>
    <t>909-636-3348</t>
  </si>
  <si>
    <t>Agustin Luna Hernandez</t>
  </si>
  <si>
    <t>30689</t>
  </si>
  <si>
    <t>61-6965839</t>
  </si>
  <si>
    <t>Richland Trucking</t>
  </si>
  <si>
    <t>530-304-0028</t>
  </si>
  <si>
    <t>Agustin M Aguilera Gutierrez</t>
  </si>
  <si>
    <t>L2842</t>
  </si>
  <si>
    <t>61-2278088</t>
  </si>
  <si>
    <t>Agustin Aguilera Gutierrez</t>
  </si>
  <si>
    <t>909-763-0807</t>
  </si>
  <si>
    <t>Agustin Martinez</t>
  </si>
  <si>
    <t>42432</t>
  </si>
  <si>
    <t>61-9285797</t>
  </si>
  <si>
    <t>Rubby's Trucking</t>
  </si>
  <si>
    <t>760-552-9505</t>
  </si>
  <si>
    <t>Agustin Navarro</t>
  </si>
  <si>
    <t>13-4340088</t>
  </si>
  <si>
    <t>Navarros Truck Lines</t>
  </si>
  <si>
    <t>951-217-3483</t>
  </si>
  <si>
    <t>Agustin Osmin Carpio Pena</t>
  </si>
  <si>
    <t>34799</t>
  </si>
  <si>
    <t>62-2666939</t>
  </si>
  <si>
    <t>United Auto Transport</t>
  </si>
  <si>
    <t>323-228-7236</t>
  </si>
  <si>
    <t>Agustin Rodriguez</t>
  </si>
  <si>
    <t>56-2918656</t>
  </si>
  <si>
    <t>602-422-6263</t>
  </si>
  <si>
    <t>Agustin Santiago</t>
  </si>
  <si>
    <t>47252</t>
  </si>
  <si>
    <t>62-6803811</t>
  </si>
  <si>
    <t>760-605-2375</t>
  </si>
  <si>
    <t>Agustin Suarez</t>
  </si>
  <si>
    <t>38069</t>
  </si>
  <si>
    <t>56-8617288</t>
  </si>
  <si>
    <t>626-523-6816</t>
  </si>
  <si>
    <t>Agutor Logistics LLC</t>
  </si>
  <si>
    <t>27-2954453</t>
  </si>
  <si>
    <t>520-488-4049</t>
  </si>
  <si>
    <t>AGVC</t>
  </si>
  <si>
    <t>82-3202858</t>
  </si>
  <si>
    <t>All Star Van Lines</t>
  </si>
  <si>
    <t>888-257-9147</t>
  </si>
  <si>
    <t>AGXP Trucking LLC</t>
  </si>
  <si>
    <t>26-0757760</t>
  </si>
  <si>
    <t>310-835-4060</t>
  </si>
  <si>
    <t>3658</t>
  </si>
  <si>
    <t>Woon K. Cho</t>
  </si>
  <si>
    <t>Agyapal Singh</t>
  </si>
  <si>
    <t>68-5949313</t>
  </si>
  <si>
    <t>571-309-2825</t>
  </si>
  <si>
    <t>83-1810102</t>
  </si>
  <si>
    <t>415-416-0066</t>
  </si>
  <si>
    <t>AH Eagle Transportation LLC</t>
  </si>
  <si>
    <t>53108</t>
  </si>
  <si>
    <t>87-1474393</t>
  </si>
  <si>
    <t>571-977-0789</t>
  </si>
  <si>
    <t>AHA Trucking</t>
  </si>
  <si>
    <t>82-2476926</t>
  </si>
  <si>
    <t>904-813-1175</t>
  </si>
  <si>
    <t>Ahbreca</t>
  </si>
  <si>
    <t>83-2808278</t>
  </si>
  <si>
    <t>760-819-4711</t>
  </si>
  <si>
    <t>Ahern Rentals</t>
  </si>
  <si>
    <t>36564</t>
  </si>
  <si>
    <t>88-0381960</t>
  </si>
  <si>
    <t>702-648-6212</t>
  </si>
  <si>
    <t>532490</t>
  </si>
  <si>
    <t>Ahmad Albayati</t>
  </si>
  <si>
    <t>68-4573011</t>
  </si>
  <si>
    <t>619-635-2401</t>
  </si>
  <si>
    <t>Ahmad Fawad Shams</t>
  </si>
  <si>
    <t>78-0436852</t>
  </si>
  <si>
    <t>916-412-1576</t>
  </si>
  <si>
    <t>Ahmad Hameed Mageed</t>
  </si>
  <si>
    <t>76-4028571</t>
  </si>
  <si>
    <t>602-472-4768</t>
  </si>
  <si>
    <t>Ahmad M Hussein</t>
  </si>
  <si>
    <t>60-6146618</t>
  </si>
  <si>
    <t>95-125-4235</t>
  </si>
  <si>
    <t>Ahmad Sattari</t>
  </si>
  <si>
    <t>60-3960968</t>
  </si>
  <si>
    <t>909-844-0012</t>
  </si>
  <si>
    <t>Ahmad Shahbaz</t>
  </si>
  <si>
    <t>21-7356476</t>
  </si>
  <si>
    <t>703-980-6162</t>
  </si>
  <si>
    <t>Ahmed  Alwajh</t>
  </si>
  <si>
    <t>23103</t>
  </si>
  <si>
    <t>61-0539751</t>
  </si>
  <si>
    <t>209-681-4400</t>
  </si>
  <si>
    <t>Ahmed Abass Hadi Al Roubaiee</t>
  </si>
  <si>
    <t>48978</t>
  </si>
  <si>
    <t>65-3699352</t>
  </si>
  <si>
    <t>720-361-5497</t>
  </si>
  <si>
    <t>Ahmed Ahmed</t>
  </si>
  <si>
    <t>44221</t>
  </si>
  <si>
    <t>74-8871556</t>
  </si>
  <si>
    <t>619-635-5153</t>
  </si>
  <si>
    <t>Ahmed Alaujar</t>
  </si>
  <si>
    <t>61-4139679</t>
  </si>
  <si>
    <t>805-305-2090</t>
  </si>
  <si>
    <t>Ahmed Ali Ibrahim</t>
  </si>
  <si>
    <t>65-3583264</t>
  </si>
  <si>
    <t>612-479-1068</t>
  </si>
  <si>
    <t>Ahmed Alsahrwardi</t>
  </si>
  <si>
    <t>76-5962225</t>
  </si>
  <si>
    <t>480-476-1802</t>
  </si>
  <si>
    <t>Ahmed Elsinara</t>
  </si>
  <si>
    <t>24-4859665</t>
  </si>
  <si>
    <t>336-509-4770</t>
  </si>
  <si>
    <t>Ahmed Farhan Rishad Quresh</t>
  </si>
  <si>
    <t>42663</t>
  </si>
  <si>
    <t>76-4446486</t>
  </si>
  <si>
    <t>Ahmed Girmai Seid</t>
  </si>
  <si>
    <t>30277</t>
  </si>
  <si>
    <t>61-3616629</t>
  </si>
  <si>
    <t>408-504-9168</t>
  </si>
  <si>
    <t>Ahmed Hamad</t>
  </si>
  <si>
    <t>62-0771646</t>
  </si>
  <si>
    <t>858-250-9291</t>
  </si>
  <si>
    <t>Ahmed Kahlan Abdulmajeed</t>
  </si>
  <si>
    <t>71-9824550</t>
  </si>
  <si>
    <t>408-830-4687</t>
  </si>
  <si>
    <t>Ahmed Khan</t>
  </si>
  <si>
    <t>46-1442356</t>
  </si>
  <si>
    <t>Norin Transportation</t>
  </si>
  <si>
    <t>816-812-5027</t>
  </si>
  <si>
    <t>Ahmed Mahmoud</t>
  </si>
  <si>
    <t>62-5615171</t>
  </si>
  <si>
    <t>510-305-9338</t>
  </si>
  <si>
    <t>Ahmed Yusuf Isse</t>
  </si>
  <si>
    <t>74-9688809</t>
  </si>
  <si>
    <t>701-730-3976</t>
  </si>
  <si>
    <t>Ahmedey Abdikadir Hassan</t>
  </si>
  <si>
    <t>53-4576588</t>
  </si>
  <si>
    <t>952-210-8537</t>
  </si>
  <si>
    <t>Ahmedyasin Abdi</t>
  </si>
  <si>
    <t>51-3494624</t>
  </si>
  <si>
    <t>612-978-8472</t>
  </si>
  <si>
    <t>Ahwaz Trucking</t>
  </si>
  <si>
    <t>46789</t>
  </si>
  <si>
    <t>83-4397005</t>
  </si>
  <si>
    <t>310-526-3744</t>
  </si>
  <si>
    <t>83-4470410</t>
  </si>
  <si>
    <t>AI Logistics LLC</t>
  </si>
  <si>
    <t>85-0534883</t>
  </si>
  <si>
    <t>619-862-3364</t>
  </si>
  <si>
    <t>AI Transport</t>
  </si>
  <si>
    <t>35-2716770</t>
  </si>
  <si>
    <t>718-216-9460</t>
  </si>
  <si>
    <t>AIA Trucking</t>
  </si>
  <si>
    <t>20-1409722</t>
  </si>
  <si>
    <t>714-454-0978</t>
  </si>
  <si>
    <t>Aidin Nassir</t>
  </si>
  <si>
    <t>37896</t>
  </si>
  <si>
    <t>46-4352806</t>
  </si>
  <si>
    <t>Phoenix Enterprises</t>
  </si>
  <si>
    <t>949-444-7661</t>
  </si>
  <si>
    <t>Aileen's Transport</t>
  </si>
  <si>
    <t>27-3403598</t>
  </si>
  <si>
    <t>951-783-8701</t>
  </si>
  <si>
    <t>Ailons Towing LLC</t>
  </si>
  <si>
    <t>82-2367270</t>
  </si>
  <si>
    <t>513-720-9910</t>
  </si>
  <si>
    <t>AIM INTERNATIONAL MANAGEMENT LLC</t>
  </si>
  <si>
    <t>95-4394640</t>
  </si>
  <si>
    <t>Vincent Pao</t>
  </si>
  <si>
    <t>Bravo Express Bus Company</t>
  </si>
  <si>
    <t>626-831-1820</t>
  </si>
  <si>
    <t>Aim Transportation LLC</t>
  </si>
  <si>
    <t>83-1130626</t>
  </si>
  <si>
    <t>602-577-0800</t>
  </si>
  <si>
    <t>Aimal Sherzad</t>
  </si>
  <si>
    <t>64-9610415</t>
  </si>
  <si>
    <t>909-646-0025</t>
  </si>
  <si>
    <t>Aineo Capital Research LLC</t>
  </si>
  <si>
    <t>82-1154715</t>
  </si>
  <si>
    <t>623-262-0852</t>
  </si>
  <si>
    <t>Aiport Connection</t>
  </si>
  <si>
    <t>77-0274389</t>
  </si>
  <si>
    <t>Aiport Connection Towncar &amp; Charter</t>
  </si>
  <si>
    <t>805-389-8196</t>
  </si>
  <si>
    <t>Air &amp; Road Logistics LLC</t>
  </si>
  <si>
    <t>27-0594136</t>
  </si>
  <si>
    <t>310-251-3395</t>
  </si>
  <si>
    <t>Air Cargo Transit</t>
  </si>
  <si>
    <t>86-0250652</t>
  </si>
  <si>
    <t>602-252-1000</t>
  </si>
  <si>
    <t>Air Express Trucking LLC</t>
  </si>
  <si>
    <t>84-3110394</t>
  </si>
  <si>
    <t>831-210-6236</t>
  </si>
  <si>
    <t>Air Force Express</t>
  </si>
  <si>
    <t>84-1839996</t>
  </si>
  <si>
    <t>626-720-8724</t>
  </si>
  <si>
    <t>Air Freight Transport</t>
  </si>
  <si>
    <t>82-4139144</t>
  </si>
  <si>
    <t>415-261-2001</t>
  </si>
  <si>
    <t>Air Gourmet</t>
  </si>
  <si>
    <t>95-4613196</t>
  </si>
  <si>
    <t>310-253-7700</t>
  </si>
  <si>
    <t>Air Trucking</t>
  </si>
  <si>
    <t>44856</t>
  </si>
  <si>
    <t>84-4639053</t>
  </si>
  <si>
    <t>323-798-2586</t>
  </si>
  <si>
    <t>Airam Holdings</t>
  </si>
  <si>
    <t>45-0951097</t>
  </si>
  <si>
    <t>860-294-9375</t>
  </si>
  <si>
    <t>Airborne Express</t>
  </si>
  <si>
    <t>84-2808170</t>
  </si>
  <si>
    <t>909-714-0335</t>
  </si>
  <si>
    <t>Airborne Technologies</t>
  </si>
  <si>
    <t>95-3469258</t>
  </si>
  <si>
    <t>805-389-3700</t>
  </si>
  <si>
    <t>Airfreight</t>
  </si>
  <si>
    <t>45344</t>
  </si>
  <si>
    <t>37-1945998</t>
  </si>
  <si>
    <t>818-918-1908</t>
  </si>
  <si>
    <t>Airport Mobil</t>
  </si>
  <si>
    <t>33-0455642</t>
  </si>
  <si>
    <t>909-983-5261</t>
  </si>
  <si>
    <t>Airway Brokerage</t>
  </si>
  <si>
    <t>50481</t>
  </si>
  <si>
    <t>83-2284915</t>
  </si>
  <si>
    <t>702-465-3663</t>
  </si>
  <si>
    <t>Airway Trans</t>
  </si>
  <si>
    <t>46980</t>
  </si>
  <si>
    <t>84-4235912</t>
  </si>
  <si>
    <t>818-877-8480</t>
  </si>
  <si>
    <t>AirX Utility Surveyors</t>
  </si>
  <si>
    <t>37060</t>
  </si>
  <si>
    <t>20-0034244</t>
  </si>
  <si>
    <t>760-480-2347</t>
  </si>
  <si>
    <t>237110</t>
  </si>
  <si>
    <t>Aispuro Trucking</t>
  </si>
  <si>
    <t>80-0963647</t>
  </si>
  <si>
    <t>209-678-1284</t>
  </si>
  <si>
    <t>AJ Blessing LLC</t>
  </si>
  <si>
    <t>86-2342330</t>
  </si>
  <si>
    <t>602-546-8302</t>
  </si>
  <si>
    <t>AJ Construction LLC</t>
  </si>
  <si>
    <t>48153</t>
  </si>
  <si>
    <t>84-4149008</t>
  </si>
  <si>
    <t>775-431-9017</t>
  </si>
  <si>
    <t>AJ Delarosa Trucking LLC</t>
  </si>
  <si>
    <t>42139</t>
  </si>
  <si>
    <t>47-2083115</t>
  </si>
  <si>
    <t>951-807-8759</t>
  </si>
  <si>
    <t>AJ Express</t>
  </si>
  <si>
    <t>50423</t>
  </si>
  <si>
    <t>84-4040824</t>
  </si>
  <si>
    <t>775-501-4501</t>
  </si>
  <si>
    <t>AJ Express LLC</t>
  </si>
  <si>
    <t>81-3229957</t>
  </si>
  <si>
    <t>559-618-0097</t>
  </si>
  <si>
    <t>AJ Fleet LLC</t>
  </si>
  <si>
    <t>36400</t>
  </si>
  <si>
    <t>47-4670097</t>
  </si>
  <si>
    <t>323-509-6650</t>
  </si>
  <si>
    <t>AJ Hub Group</t>
  </si>
  <si>
    <t>84-2784029</t>
  </si>
  <si>
    <t>661-843-7549</t>
  </si>
  <si>
    <t>AJ Levi Perryman</t>
  </si>
  <si>
    <t>55-8698097</t>
  </si>
  <si>
    <t>760-450-8943</t>
  </si>
  <si>
    <t>AJ Margarita Express LLC</t>
  </si>
  <si>
    <t>47-4435680</t>
  </si>
  <si>
    <t>551-556-8655</t>
  </si>
  <si>
    <t>AJ Prime</t>
  </si>
  <si>
    <t>84-3834491</t>
  </si>
  <si>
    <t>916-335-2851</t>
  </si>
  <si>
    <t>AJ Smith Transport LLC</t>
  </si>
  <si>
    <t>26-3634523</t>
  </si>
  <si>
    <t>580-775-1331</t>
  </si>
  <si>
    <t>OK</t>
  </si>
  <si>
    <t>AJ VanDamme Trucking</t>
  </si>
  <si>
    <t>86-1743843</t>
  </si>
  <si>
    <t>858-306-7151</t>
  </si>
  <si>
    <t>AJ's Express</t>
  </si>
  <si>
    <t>45466</t>
  </si>
  <si>
    <t>84-5061413</t>
  </si>
  <si>
    <t>310-421-6168</t>
  </si>
  <si>
    <t>Ajadoon Transport</t>
  </si>
  <si>
    <t>81-1217876</t>
  </si>
  <si>
    <t>409-771-8800</t>
  </si>
  <si>
    <t>Ajaib Singh</t>
  </si>
  <si>
    <t>52985</t>
  </si>
  <si>
    <t>71-4603974</t>
  </si>
  <si>
    <t>925-434-5502</t>
  </si>
  <si>
    <t>78-7854772</t>
  </si>
  <si>
    <t>209-447-7425</t>
  </si>
  <si>
    <t>Ajaib Transport</t>
  </si>
  <si>
    <t>84-4579830</t>
  </si>
  <si>
    <t>516-667-8595</t>
  </si>
  <si>
    <t>Ajamu Williams</t>
  </si>
  <si>
    <t>81-2038360</t>
  </si>
  <si>
    <t>ABW Transportation</t>
  </si>
  <si>
    <t>310-933-8237</t>
  </si>
  <si>
    <t>Ajanta Transportation</t>
  </si>
  <si>
    <t>18-3800876</t>
  </si>
  <si>
    <t>847-899-0962</t>
  </si>
  <si>
    <t>Ajax Leasing Co LLC</t>
  </si>
  <si>
    <t>23366</t>
  </si>
  <si>
    <t>55-0803196</t>
  </si>
  <si>
    <t>Chris Todero</t>
  </si>
  <si>
    <t>562-941-4266</t>
  </si>
  <si>
    <t>Ajay Ajay</t>
  </si>
  <si>
    <t>64-1552710</t>
  </si>
  <si>
    <t>559-590-1018</t>
  </si>
  <si>
    <t>Ajay Kumar</t>
  </si>
  <si>
    <t>48-7971590</t>
  </si>
  <si>
    <t>317-209-7644</t>
  </si>
  <si>
    <t>Ajay Pal Singh</t>
  </si>
  <si>
    <t>40473</t>
  </si>
  <si>
    <t>41-7811919</t>
  </si>
  <si>
    <t>208-854-9319</t>
  </si>
  <si>
    <t>36332</t>
  </si>
  <si>
    <t>62-6623985</t>
  </si>
  <si>
    <t>RCM AJ Trucking</t>
  </si>
  <si>
    <t>925-639-0970</t>
  </si>
  <si>
    <t>Ajay Pradhan</t>
  </si>
  <si>
    <t>74-4751629</t>
  </si>
  <si>
    <t>402-715-0926</t>
  </si>
  <si>
    <t>Ajay Punia</t>
  </si>
  <si>
    <t>53399</t>
  </si>
  <si>
    <t>78-0180725</t>
  </si>
  <si>
    <t>559-943-6650</t>
  </si>
  <si>
    <t>Ajaypal S Dhaliwal</t>
  </si>
  <si>
    <t>62-4357274</t>
  </si>
  <si>
    <t>559-574-2500</t>
  </si>
  <si>
    <t>Ajaypal Singh</t>
  </si>
  <si>
    <t>08-9471855</t>
  </si>
  <si>
    <t>Non Stop Trucking</t>
  </si>
  <si>
    <t>818-424-4085</t>
  </si>
  <si>
    <t>AJB Logistics LLC</t>
  </si>
  <si>
    <t>83-0851257</t>
  </si>
  <si>
    <t>909-240-1378</t>
  </si>
  <si>
    <t>Ajit Ghag Transport LLC</t>
  </si>
  <si>
    <t>84-2400649</t>
  </si>
  <si>
    <t>917-200-2534</t>
  </si>
  <si>
    <t>Ajit Logistics LLC</t>
  </si>
  <si>
    <t>50393-50393</t>
  </si>
  <si>
    <t>27-8398088</t>
  </si>
  <si>
    <t>253-236-3570 - 253-236-3570</t>
  </si>
  <si>
    <t>WA-WA</t>
  </si>
  <si>
    <t>Ajit Singh</t>
  </si>
  <si>
    <t>83-1725168</t>
  </si>
  <si>
    <t>Ajit Singh Trucking</t>
  </si>
  <si>
    <t>510-862-0959</t>
  </si>
  <si>
    <t>Ajit Singh Dhillon</t>
  </si>
  <si>
    <t>51419</t>
  </si>
  <si>
    <t>45-3957899</t>
  </si>
  <si>
    <t>A&amp;B Trucking Company</t>
  </si>
  <si>
    <t>626-890-6823</t>
  </si>
  <si>
    <t>Ajit Transport</t>
  </si>
  <si>
    <t>85-3369171</t>
  </si>
  <si>
    <t>559-441-3000</t>
  </si>
  <si>
    <t>Ajitesh Malhotra</t>
  </si>
  <si>
    <t>50358</t>
  </si>
  <si>
    <t>88-3762516</t>
  </si>
  <si>
    <t>562-385-4172</t>
  </si>
  <si>
    <t>Ajitpal No Name Given</t>
  </si>
  <si>
    <t>03-9714811</t>
  </si>
  <si>
    <t>929-393-8216</t>
  </si>
  <si>
    <t>Ajitpal Raihsi</t>
  </si>
  <si>
    <t>62-4216916</t>
  </si>
  <si>
    <t>916-370-3208</t>
  </si>
  <si>
    <t>AJJ Transport</t>
  </si>
  <si>
    <t>23632</t>
  </si>
  <si>
    <t>87-0742620</t>
  </si>
  <si>
    <t>Antonio Gonzalez</t>
  </si>
  <si>
    <t>831-757-1260</t>
  </si>
  <si>
    <t>AJK Trucking LLC</t>
  </si>
  <si>
    <t>45-3683349</t>
  </si>
  <si>
    <t>54-543-4881</t>
  </si>
  <si>
    <t>AJM Delivery Services</t>
  </si>
  <si>
    <t>49254</t>
  </si>
  <si>
    <t>33-0991232</t>
  </si>
  <si>
    <t>951-685-7886</t>
  </si>
  <si>
    <t>Ajmer S Pandher</t>
  </si>
  <si>
    <t>16-1827320</t>
  </si>
  <si>
    <t>570-573-1010</t>
  </si>
  <si>
    <t>AJP Crestliner LLC</t>
  </si>
  <si>
    <t>20-4628396</t>
  </si>
  <si>
    <t>909-224-5892</t>
  </si>
  <si>
    <t>AJQ Services</t>
  </si>
  <si>
    <t>46-3602652</t>
  </si>
  <si>
    <t>760-985-2716</t>
  </si>
  <si>
    <t>AJR Transportation Corp</t>
  </si>
  <si>
    <t>83-2868369</t>
  </si>
  <si>
    <t>AJR Trucking</t>
  </si>
  <si>
    <t>33242</t>
  </si>
  <si>
    <t>95-4287933</t>
  </si>
  <si>
    <t>Hakop Khudikyan</t>
  </si>
  <si>
    <t>818-427-1710</t>
  </si>
  <si>
    <t>AJRL Trucking</t>
  </si>
  <si>
    <t>49246</t>
  </si>
  <si>
    <t>83-3523476</t>
  </si>
  <si>
    <t>209-329-3729</t>
  </si>
  <si>
    <t>AK Bars</t>
  </si>
  <si>
    <t>49238</t>
  </si>
  <si>
    <t>83-2111406</t>
  </si>
  <si>
    <t>917-238-2138</t>
  </si>
  <si>
    <t>AK Carrier</t>
  </si>
  <si>
    <t>46-3873365</t>
  </si>
  <si>
    <t>843-457-8347</t>
  </si>
  <si>
    <t>SC</t>
  </si>
  <si>
    <t>AK Carriers</t>
  </si>
  <si>
    <t>45807</t>
  </si>
  <si>
    <t>82-1225360</t>
  </si>
  <si>
    <t>559-796-9024</t>
  </si>
  <si>
    <t>AK Express Trans</t>
  </si>
  <si>
    <t>42199</t>
  </si>
  <si>
    <t>81-3011085</t>
  </si>
  <si>
    <t>916-743-7324</t>
  </si>
  <si>
    <t>AK Freight</t>
  </si>
  <si>
    <t>47-1474708</t>
  </si>
  <si>
    <t>209-323-4346</t>
  </si>
  <si>
    <t>AK Hayk Express</t>
  </si>
  <si>
    <t>47-3645921</t>
  </si>
  <si>
    <t>310-803-2307</t>
  </si>
  <si>
    <t>AK Landscaping Maintenance</t>
  </si>
  <si>
    <t>20-3323707</t>
  </si>
  <si>
    <t>Mike Arechiga</t>
  </si>
  <si>
    <t>760-347-9746</t>
  </si>
  <si>
    <t>33139</t>
  </si>
  <si>
    <t>760-347-9747</t>
  </si>
  <si>
    <t>561730</t>
  </si>
  <si>
    <t>AK Trans</t>
  </si>
  <si>
    <t>47-2653267</t>
  </si>
  <si>
    <t>408-480-4560</t>
  </si>
  <si>
    <t>AK Trucks</t>
  </si>
  <si>
    <t>83-3883981</t>
  </si>
  <si>
    <t>315-560-2740</t>
  </si>
  <si>
    <t>AK Xpress</t>
  </si>
  <si>
    <t>50663</t>
  </si>
  <si>
    <t>85-3218304</t>
  </si>
  <si>
    <t>209-915-7736</t>
  </si>
  <si>
    <t>AKA Express LLC</t>
  </si>
  <si>
    <t>84-2666247</t>
  </si>
  <si>
    <t>602-468-2759</t>
  </si>
  <si>
    <t>Akaal Trans LLC</t>
  </si>
  <si>
    <t>44434</t>
  </si>
  <si>
    <t>56-2639595</t>
  </si>
  <si>
    <t>559-289-7076</t>
  </si>
  <si>
    <t>AKAAL Trucking LLC</t>
  </si>
  <si>
    <t>47778</t>
  </si>
  <si>
    <t>46-4215993</t>
  </si>
  <si>
    <t>623-986-2039</t>
  </si>
  <si>
    <t>Akal Cargo</t>
  </si>
  <si>
    <t>46090</t>
  </si>
  <si>
    <t>81-4747060</t>
  </si>
  <si>
    <t>909-341-3543</t>
  </si>
  <si>
    <t>Akal Carrier</t>
  </si>
  <si>
    <t>20-3627756</t>
  </si>
  <si>
    <t>818-268-9197</t>
  </si>
  <si>
    <t>Akal Transports</t>
  </si>
  <si>
    <t>86-2984159</t>
  </si>
  <si>
    <t>310-920-3044</t>
  </si>
  <si>
    <t>Akash Asheel Chand Chandra</t>
  </si>
  <si>
    <t>62-3679858</t>
  </si>
  <si>
    <t>209-373-5135</t>
  </si>
  <si>
    <t>Akash Pradhan and Jai Pradhan</t>
  </si>
  <si>
    <t>58-8870922</t>
  </si>
  <si>
    <t>336-259-9328</t>
  </si>
  <si>
    <t>Akash Singh</t>
  </si>
  <si>
    <t>62-0553240</t>
  </si>
  <si>
    <t>510-396-4744</t>
  </si>
  <si>
    <t>Akashdeep Singh</t>
  </si>
  <si>
    <t>00-8897399</t>
  </si>
  <si>
    <t>415-425-2760</t>
  </si>
  <si>
    <t>Akashdeep singh</t>
  </si>
  <si>
    <t>49-9814778</t>
  </si>
  <si>
    <t>209-597-7076</t>
  </si>
  <si>
    <t>52296</t>
  </si>
  <si>
    <t>71-0320650</t>
  </si>
  <si>
    <t>206-420-9717</t>
  </si>
  <si>
    <t>73-7252389</t>
  </si>
  <si>
    <t>559-656-7428</t>
  </si>
  <si>
    <t>80-5540017</t>
  </si>
  <si>
    <t>530-441-7917</t>
  </si>
  <si>
    <t>Akashdeep Singh Boparai</t>
  </si>
  <si>
    <t>53-7634885</t>
  </si>
  <si>
    <t>360-820-8679</t>
  </si>
  <si>
    <t>Akashdeep Singh Virk</t>
  </si>
  <si>
    <t>48793</t>
  </si>
  <si>
    <t>15-0639829</t>
  </si>
  <si>
    <t>513-781-6314</t>
  </si>
  <si>
    <t>Akattar Singh Samra</t>
  </si>
  <si>
    <t>08-1727956</t>
  </si>
  <si>
    <t>559-970-0811</t>
  </si>
  <si>
    <t>AKB Transport</t>
  </si>
  <si>
    <t>61-6575919</t>
  </si>
  <si>
    <t>209-640-8851</t>
  </si>
  <si>
    <t>AKB Transportation LLC</t>
  </si>
  <si>
    <t>81-4501102</t>
  </si>
  <si>
    <t>516-640-2190</t>
  </si>
  <si>
    <t>Akbar Nabaa</t>
  </si>
  <si>
    <t>85-1813630</t>
  </si>
  <si>
    <t>951-483-6015</t>
  </si>
  <si>
    <t>Akeem McCollum</t>
  </si>
  <si>
    <t>24-2855564</t>
  </si>
  <si>
    <t>910-234-2057</t>
  </si>
  <si>
    <t>AKG Logistics</t>
  </si>
  <si>
    <t>33634</t>
  </si>
  <si>
    <t>46-4935462</t>
  </si>
  <si>
    <t>828-645-5239</t>
  </si>
  <si>
    <t>AKG Trade Ltd</t>
  </si>
  <si>
    <t>84-1693407</t>
  </si>
  <si>
    <t>614-804-9453</t>
  </si>
  <si>
    <t>AKG Trans</t>
  </si>
  <si>
    <t>47-2831175</t>
  </si>
  <si>
    <t>310-387-7139</t>
  </si>
  <si>
    <t>GRANT EXECUTE ON object:: dbo.[YourProcedureNameHere] TO [AMER\SSISOperator]</t>
  </si>
  <si>
    <t>ANZ Sales</t>
  </si>
  <si>
    <t>OCLC WorldShare Management Services - Library</t>
  </si>
  <si>
    <t>OCLC EMEA Support</t>
  </si>
  <si>
    <t>OCLC Public Library</t>
  </si>
  <si>
    <t>EMEA UKI Training Library in Sheffield</t>
  </si>
  <si>
    <t>Sorbonne University Abu Dhabi</t>
  </si>
  <si>
    <t>Université de Montréal</t>
  </si>
  <si>
    <t>OCLC OPS Demo Library</t>
  </si>
  <si>
    <t>Liverpool School of Tropical Medicine</t>
  </si>
  <si>
    <t>University of Gloucestershire</t>
  </si>
  <si>
    <t>University of Groningen Library</t>
  </si>
  <si>
    <t>McGill University Library</t>
  </si>
  <si>
    <t>Polytechnique Montréal</t>
  </si>
  <si>
    <t>Biblioteca de la Universidad Complutense de Madrid</t>
  </si>
  <si>
    <t>University of Roehampton</t>
  </si>
  <si>
    <t>Radboud University; University Library</t>
  </si>
  <si>
    <t>WMS University</t>
  </si>
  <si>
    <t>Massey University Library</t>
  </si>
  <si>
    <t>Université Laval, Bibliothèque</t>
  </si>
  <si>
    <t>Université du Québec à Montréal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</si>
</sst>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8" x14ac:knownFonts="1">
    <font>
      <sz val="11"/>
      <color theme="1"/>
      <name val="Calibri"/>
      <family val="2"/>
      <scheme val="minor"/>
    </font>
    <font>
      <sz val="11"/>
      <color theme="1"/>
      <name val="Calibri"/>
      <family val="2"/>
      <scheme val="minor"/>
    </font>
    <font>
      <b/>
      <sz val="11"/>
      <color theme="1"/>
      <name val="Calibri"/>
      <family val="2"/>
      <scheme val="minor"/>
    </font>
    <font>
      <sz val="11"/>
      <color rgb="FF006100"/>
      <name val="Calibri"/>
      <family val="2"/>
      <scheme val="minor"/>
    </font>
    <font>
      <sz val="11"/>
      <color rgb="FF9C5700"/>
      <name val="Calibri"/>
      <family val="2"/>
      <scheme val="minor"/>
    </font>
    <font>
      <b/>
      <sz val="11"/>
      <color rgb="FF9C5700"/>
      <name val="Calibri"/>
      <family val="2"/>
      <scheme val="minor"/>
    </font>
    <font>
      <sz val="8"/>
      <name val="Calibri"/>
      <family val="2"/>
      <scheme val="minor"/>
    </font>
    <font>
      <sz val="11"/>
      <color theme="4" tint="-0.249977111117893"/>
      <name val="Calibri"/>
      <family val="2"/>
      <scheme val="minor"/>
    </font>
  </fonts>
  <fills count="7">
    <fill>
      <patternFill patternType="none"/>
    </fill>
    <fill>
      <patternFill patternType="gray125"/>
    </fill>
    <fill>
      <patternFill patternType="solid">
        <fgColor theme="9" tint="0.79998168889431442"/>
        <bgColor theme="9" tint="0.79998168889431442"/>
      </patternFill>
    </fill>
    <fill>
      <patternFill patternType="solid">
        <fgColor rgb="FFC6EFCE"/>
      </patternFill>
    </fill>
    <fill>
      <patternFill patternType="solid">
        <fgColor rgb="FFFFEB9C"/>
      </patternFill>
    </fill>
    <fill>
      <patternFill patternType="solid">
        <fgColor theme="4" tint="0.79998168889431442"/>
        <bgColor theme="4" tint="0.79998168889431442"/>
      </patternFill>
    </fill>
    <fill>
      <patternFill patternType="solid">
        <fgColor theme="9"/>
        <bgColor indexed="64"/>
      </patternFill>
    </fill>
  </fills>
  <borders count="4">
    <border>
      <left/>
      <right/>
      <top/>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top/>
      <bottom style="thin">
        <color theme="4"/>
      </bottom>
      <diagonal/>
    </border>
  </borders>
  <cellStyleXfs count="3">
    <xf numFmtId="0" fontId="0" fillId="0" borderId="0"/>
    <xf numFmtId="0" fontId="3" fillId="3" borderId="0" applyNumberFormat="0" applyBorder="0" applyAlignment="0" applyProtection="0"/>
    <xf numFmtId="0" fontId="4" fillId="4" borderId="0" applyNumberFormat="0" applyBorder="0" applyAlignment="0" applyProtection="0"/>
  </cellStyleXfs>
  <cellXfs count="22">
    <xf numFmtId="0" fontId="0" fillId="0" borderId="0" xfId="0"/>
    <xf numFmtId="0" fontId="0" fillId="0" borderId="0" xfId="0" applyNumberFormat="1"/>
    <xf numFmtId="0" fontId="0" fillId="0" borderId="0" xfId="0" applyAlignment="1">
      <alignment wrapText="1"/>
    </xf>
    <xf numFmtId="0" fontId="1" fillId="0" borderId="0" xfId="0" applyFont="1"/>
    <xf numFmtId="0" fontId="2" fillId="0" borderId="0" xfId="0" applyFont="1"/>
    <xf numFmtId="0" fontId="0" fillId="2" borderId="1" xfId="0" applyNumberFormat="1" applyFont="1" applyFill="1" applyBorder="1"/>
    <xf numFmtId="0" fontId="0" fillId="2" borderId="2" xfId="0" applyNumberFormat="1" applyFont="1" applyFill="1" applyBorder="1"/>
    <xf numFmtId="0" fontId="0" fillId="0" borderId="1" xfId="0" applyNumberFormat="1" applyFont="1" applyBorder="1"/>
    <xf numFmtId="0" fontId="0" fillId="0" borderId="2" xfId="0" applyNumberFormat="1" applyFont="1" applyBorder="1"/>
    <xf numFmtId="0" fontId="0" fillId="0" borderId="0" xfId="0" applyFont="1"/>
    <xf numFmtId="0" fontId="3" fillId="3" borderId="0" xfId="1"/>
    <xf numFmtId="0" fontId="3" fillId="3" borderId="0" xfId="1" applyAlignment="1">
      <alignment vertical="center"/>
    </xf>
    <xf numFmtId="0" fontId="4" fillId="4" borderId="0" xfId="2"/>
    <xf numFmtId="0" fontId="5" fillId="4" borderId="0" xfId="2" applyFont="1"/>
    <xf numFmtId="0" fontId="0" fillId="0" borderId="0" xfId="0" applyFont="1" applyAlignment="1">
      <alignment horizontal="center" vertical="center"/>
    </xf>
    <xf numFmtId="0" fontId="0" fillId="0" borderId="0" xfId="0" applyAlignment="1">
      <alignment horizontal="center" vertical="center"/>
    </xf>
    <xf numFmtId="0" fontId="7" fillId="5" borderId="0" xfId="0" applyFont="1" applyFill="1"/>
    <xf numFmtId="0" fontId="7" fillId="0" borderId="0" xfId="0" applyFont="1"/>
    <xf numFmtId="0" fontId="7" fillId="5" borderId="3" xfId="0" applyFont="1" applyFill="1" applyBorder="1"/>
    <xf numFmtId="0" fontId="0" fillId="6" borderId="0" xfId="0" applyFill="1"/>
    <xf numFmtId="49" fontId="0" fillId="0" borderId="0" xfId="0" applyNumberFormat="1"/>
    <xf numFmtId="22" fontId="0" fillId="0" borderId="0" xfId="0" applyNumberFormat="1"/>
  </cellXfs>
  <cellStyles count="3">
    <cellStyle name="Good" xfId="1" builtinId="26"/>
    <cellStyle name="Neutral" xfId="2" builtinId="28"/>
    <cellStyle name="Normal" xfId="0" builtinId="0"/>
  </cellStyles>
  <dxfs count="35">
    <dxf>
      <font>
        <color rgb="FF9C0006"/>
      </font>
      <fill>
        <patternFill>
          <bgColor rgb="FFFFC7CE"/>
        </patternFill>
      </fil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numFmt numFmtId="0" formatCode="Genera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numFmt numFmtId="27" formatCode="m/d/yyyy\ h:mm"/>
    </dxf>
    <dxf>
      <numFmt numFmtId="27" formatCode="m/d/yyyy\ h:mm"/>
    </dxf>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general" vertical="bottom" textRotation="0" wrapText="1" indent="0" justifyLastLine="0" shrinkToFit="0" readingOrder="0"/>
    </dxf>
  </dxfs>
  <tableStyles count="1" defaultTableStyle="TableStyleMedium2" defaultPivotStyle="PivotStyleLight16">
    <tableStyle name="Invisible" pivot="0" table="0" count="0" xr9:uid="{E2F86F4E-C3A6-41A3-A7D5-A7BA468D666B}"/>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powerPivotData" Target="model/item.data"/><Relationship Id="rId26" Type="http://schemas.openxmlformats.org/officeDocument/2006/relationships/customXml" Target="../customXml/item7.xml"/><Relationship Id="rId21" Type="http://schemas.openxmlformats.org/officeDocument/2006/relationships/customXml" Target="../customXml/item2.xml"/><Relationship Id="rId34" Type="http://schemas.openxmlformats.org/officeDocument/2006/relationships/customXml" Target="../customXml/item15.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5" Type="http://schemas.openxmlformats.org/officeDocument/2006/relationships/customXml" Target="../customXml/item6.xml"/><Relationship Id="rId33" Type="http://schemas.openxmlformats.org/officeDocument/2006/relationships/customXml" Target="../customXml/item14.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29" Type="http://schemas.openxmlformats.org/officeDocument/2006/relationships/customXml" Target="../customXml/item1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5.xml"/><Relationship Id="rId32" Type="http://schemas.openxmlformats.org/officeDocument/2006/relationships/customXml" Target="../customXml/item13.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connections" Target="connections.xml"/><Relationship Id="rId23" Type="http://schemas.openxmlformats.org/officeDocument/2006/relationships/customXml" Target="../customXml/item4.xml"/><Relationship Id="rId28" Type="http://schemas.openxmlformats.org/officeDocument/2006/relationships/customXml" Target="../customXml/item9.xml"/><Relationship Id="rId36" Type="http://schemas.openxmlformats.org/officeDocument/2006/relationships/customXml" Target="../customXml/item17.xml"/><Relationship Id="rId10" Type="http://schemas.openxmlformats.org/officeDocument/2006/relationships/worksheet" Target="worksheets/sheet10.xml"/><Relationship Id="rId19" Type="http://schemas.openxmlformats.org/officeDocument/2006/relationships/calcChain" Target="calcChain.xml"/><Relationship Id="rId31" Type="http://schemas.openxmlformats.org/officeDocument/2006/relationships/customXml" Target="../customXml/item1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ustomXml" Target="../customXml/item3.xml"/><Relationship Id="rId27" Type="http://schemas.openxmlformats.org/officeDocument/2006/relationships/customXml" Target="../customXml/item8.xml"/><Relationship Id="rId30" Type="http://schemas.openxmlformats.org/officeDocument/2006/relationships/customXml" Target="../customXml/item11.xml"/><Relationship Id="rId35" Type="http://schemas.openxmlformats.org/officeDocument/2006/relationships/customXml" Target="../customXml/item16.xml"/><Relationship Id="rId8" Type="http://schemas.openxmlformats.org/officeDocument/2006/relationships/worksheet" Target="worksheets/sheet8.xml"/><Relationship Id="rId3" Type="http://schemas.openxmlformats.org/officeDocument/2006/relationships/worksheet" Target="worksheets/sheet3.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growShrinkType="overwriteClear" adjustColumnWidth="0" connectionId="1" xr16:uid="{66C1D8A6-5123-498C-BF8B-1CCF8A8EBEB2}" autoFormatId="16" applyNumberFormats="0" applyBorderFormats="0" applyFontFormats="0" applyPatternFormats="0" applyAlignmentFormats="0" applyWidthHeightFormats="0">
  <queryTableRefresh nextId="112">
    <queryTableFields count="15">
      <queryTableField id="97" name="TABLE_SCHEMA" tableColumnId="97"/>
      <queryTableField id="98" name="TABLE_NAME" tableColumnId="98"/>
      <queryTableField id="99" name="COLUMN_NAME" tableColumnId="99"/>
      <queryTableField id="100" name="ORDINAL_POSITION" tableColumnId="100"/>
      <queryTableField id="101" name="IS_NULLABLE" tableColumnId="101"/>
      <queryTableField id="102" name="DATA_TYPE" tableColumnId="102"/>
      <queryTableField id="103" name="NUMERIC_PRECISION_RADIX" tableColumnId="103"/>
      <queryTableField id="104" name="NUMERIC_PRECISION" tableColumnId="104"/>
      <queryTableField id="105" name="NUMERIC_SCALE" tableColumnId="105"/>
      <queryTableField id="106" name="DATETIME_PRECISION" tableColumnId="106"/>
      <queryTableField id="107" name="CHARACTER_MAXIMUM_LENGTH" tableColumnId="107"/>
      <queryTableField id="108" name="DESCRIPTION" tableColumnId="108"/>
      <queryTableField id="109" name="COLUMN_DEFAULT" tableColumnId="109"/>
      <queryTableField id="110" name="COLUMN_EXPRESSION" tableColumnId="110"/>
      <queryTableField id="111" name="IS_WRITABLE" tableColumnId="1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3" connectionId="3" xr16:uid="{E61C3BD7-8D79-40D2-9FCC-9770FCC30F93}" autoFormatId="16" applyNumberFormats="0" applyBorderFormats="0" applyFontFormats="0" applyPatternFormats="0" applyAlignmentFormats="0" applyWidthHeightFormats="0">
  <queryTableRefresh nextId="275">
    <queryTableFields count="20">
      <queryTableField id="255" name="ID_CompanyStep2" tableColumnId="1"/>
      <queryTableField id="256" name="CoName" tableColumnId="2"/>
      <queryTableField id="257" name="BackOfficeID" tableColumnId="3"/>
      <queryTableField id="258" name="CoFederalIDNum" tableColumnId="4"/>
      <queryTableField id="259" name="CoContact" tableColumnId="5"/>
      <queryTableField id="260" name="CoDBA" tableColumnId="6"/>
      <queryTableField id="261" name="CoBusinessType" tableColumnId="7"/>
      <queryTableField id="262" name="CoPhone" tableColumnId="8"/>
      <queryTableField id="263" name="CoStateIncCode" tableColumnId="9"/>
      <queryTableField id="264" name="NAICS" tableColumnId="10"/>
      <queryTableField id="265" name="IsSSN" tableColumnId="11"/>
      <queryTableField id="266" name="IsEIN" tableColumnId="12"/>
      <queryTableField id="267" name="LC_ID_CompanyStep1" tableColumnId="13"/>
      <queryTableField id="268" name="T_CreatedDate" tableColumnId="14"/>
      <queryTableField id="269" name="T_ModifiedDate" tableColumnId="15"/>
      <queryTableField id="270" name="T_DeletedDate" tableColumnId="16"/>
      <queryTableField id="271" name="T_DeletedFlag" tableColumnId="17"/>
      <queryTableField id="272" name="ID_CompanyStep3" tableColumnId="18"/>
      <queryTableField id="273" name="CompanyNum" tableColumnId="19"/>
      <queryTableField id="274" name="CompanyRelation" tableColumnId="20"/>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7" xr16:uid="{0E3E085C-3117-4CA8-B685-237FA808426B}" autoFormatId="16" applyNumberFormats="0" applyBorderFormats="0" applyFontFormats="0" applyPatternFormats="0" applyAlignmentFormats="0" applyWidthHeightFormats="0">
  <queryTableRefresh nextId="4">
    <queryTableFields count="3">
      <queryTableField id="1" name="TABLE_SCHEMA" tableColumnId="1"/>
      <queryTableField id="2" name="TABLE_NAME" tableColumnId="2"/>
      <queryTableField id="3" name="TABLE_TYPE"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2" xr16:uid="{C68650D6-D076-46AC-86C8-4AAAA797EB6A}" autoFormatId="16" applyNumberFormats="0" applyBorderFormats="0" applyFontFormats="0" applyPatternFormats="0" applyAlignmentFormats="0" applyWidthHeightFormats="0">
  <queryTableRefresh nextId="2">
    <queryTableFields count="1">
      <queryTableField id="1" name="name" tableColumnId="1"/>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6" xr16:uid="{5FC2BE68-2362-40B1-9CD4-A8EA7B10EA03}" autoFormatId="16" applyNumberFormats="0" applyBorderFormats="0" applyFontFormats="0" applyPatternFormats="0" applyAlignmentFormats="0" applyWidthHeightFormats="0">
  <queryTableRefresh nextId="2">
    <queryTableFields count="1">
      <queryTableField id="1" name="TABLE_SCHEMA" tableColumnId="1"/>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BB2E5CF-F1BF-467A-9F77-54112354C8FD}" name="Table3" displayName="Table3" ref="A1:A10" totalsRowShown="0">
  <autoFilter ref="A1:A10" xr:uid="{69490402-C63B-4D3C-893D-3982ACDB7FA3}"/>
  <tableColumns count="1">
    <tableColumn id="1" xr3:uid="{240A37D6-5A35-4A37-8279-2C4E40251E63}" name="Name"/>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D29DBE6-352C-4158-A3FF-88E3EE1CCDBC}" name="Columns_1" displayName="Columns_1" ref="A7:O27" tableType="queryTable" totalsRowShown="0" headerRowDxfId="34">
  <autoFilter ref="A7:O27" xr:uid="{7C7CB0A4-E85B-419B-8831-C3AA689ED1AA}"/>
  <tableColumns count="15">
    <tableColumn id="97" xr3:uid="{8D6C87C0-1A0F-48CF-9B5C-97BCB041D55B}" uniqueName="97" name="TABLE_SCHEMA" queryTableFieldId="97" dataDxfId="33"/>
    <tableColumn id="98" xr3:uid="{6DCA7319-D208-436D-AC15-192DF067A638}" uniqueName="98" name="TABLE_NAME" queryTableFieldId="98" dataDxfId="32"/>
    <tableColumn id="99" xr3:uid="{919D9626-B379-4CA1-81B0-2ED4B22E8DD3}" uniqueName="99" name="COLUMN_NAME" queryTableFieldId="99" dataDxfId="31"/>
    <tableColumn id="100" xr3:uid="{E11FDA07-8D7F-46AD-9622-F30611F2BFFD}" uniqueName="100" name="ORDINAL_POSITION" queryTableFieldId="100"/>
    <tableColumn id="101" xr3:uid="{E3F420C3-DF13-4E0B-AE60-DBFFA386CF35}" uniqueName="101" name="IS_NULLABLE" queryTableFieldId="101"/>
    <tableColumn id="102" xr3:uid="{4221A8AA-27B8-4E6A-9D39-12C50E5DED0B}" uniqueName="102" name="DATA_TYPE" queryTableFieldId="102" dataDxfId="30"/>
    <tableColumn id="103" xr3:uid="{4F8690D6-FCF5-4129-8EDD-9175AE665289}" uniqueName="103" name="NUMERIC_PRECISION_RADIX" queryTableFieldId="103"/>
    <tableColumn id="104" xr3:uid="{C0BDE2F9-FAFC-4DC7-B156-0F34ABD7EBCF}" uniqueName="104" name="NUMERIC_PRECISION" queryTableFieldId="104"/>
    <tableColumn id="105" xr3:uid="{33A58A32-8971-40C4-87D2-6E7260CB47F2}" uniqueName="105" name="NUMERIC_SCALE" queryTableFieldId="105"/>
    <tableColumn id="106" xr3:uid="{53F47F45-0EC0-4707-8ACF-83D363FAA36A}" uniqueName="106" name="DATETIME_PRECISION" queryTableFieldId="106"/>
    <tableColumn id="107" xr3:uid="{86ACACAE-F6E5-4400-A2C1-81DB6145612F}" uniqueName="107" name="CHARACTER_MAXIMUM_LENGTH" queryTableFieldId="107"/>
    <tableColumn id="108" xr3:uid="{8B40B2C3-9884-4209-B8B4-E2AD1D737AC2}" uniqueName="108" name="DESCRIPTION" queryTableFieldId="108" dataDxfId="29"/>
    <tableColumn id="109" xr3:uid="{D4204B4C-8896-40C8-8E4C-1A1685D418E6}" uniqueName="109" name="COLUMN_DEFAULT" queryTableFieldId="109" dataDxfId="28"/>
    <tableColumn id="110" xr3:uid="{0A553010-AC94-4DCA-A8A1-4D649349A57E}" uniqueName="110" name="COLUMN_EXPRESSION" queryTableFieldId="110" dataDxfId="27"/>
    <tableColumn id="111" xr3:uid="{D3FBB8CD-5A41-41B8-8D79-03FED2A4BDD1}" uniqueName="111" name="IS_WRITABLE" queryTableFieldId="11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1FF48DF-EB89-47AE-992A-4EB94E77F49F}" name="Table2" displayName="Table2" ref="A1:C5" totalsRowShown="0">
  <autoFilter ref="A1:C5" xr:uid="{D8D91FEA-E4FA-4F37-8BED-A39E7E3D9F16}"/>
  <sortState xmlns:xlrd2="http://schemas.microsoft.com/office/spreadsheetml/2017/richdata2" ref="A2:C5">
    <sortCondition ref="C1"/>
  </sortState>
  <tableColumns count="3">
    <tableColumn id="1" xr3:uid="{0204DF94-D079-4F2B-9967-616C6433924C}" name="Parameter"/>
    <tableColumn id="2" xr3:uid="{70B0DAA5-F7A8-4A9B-AFB8-9060C3AC5EF1}" name="Value"/>
    <tableColumn id="3" xr3:uid="{70408623-9CD7-4E41-84B5-CEE65D28B0C3}" name="Sor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ECBF629-ECC9-4222-9A71-BF0EF9F0B349}" name="DataSample" displayName="DataSample" ref="A1:T1001" tableType="queryTable" totalsRowShown="0">
  <autoFilter ref="A1:T1001" xr:uid="{41BEDD8E-7CFA-4F3C-96A5-0C1957C5EC5A}"/>
  <tableColumns count="20">
    <tableColumn id="1" xr3:uid="{B944E767-35E3-4F91-B0A5-DDD7AFCDF5FA}" uniqueName="1" name="ID_CompanyStep2" queryTableFieldId="255"/>
    <tableColumn id="2" xr3:uid="{55A2DF79-099C-4BD2-B47F-E1BE14FBBA89}" uniqueName="2" name="CoName" queryTableFieldId="256" dataDxfId="26"/>
    <tableColumn id="3" xr3:uid="{4A40A751-91D3-4175-A2CA-A7329E315618}" uniqueName="3" name="BackOfficeID" queryTableFieldId="257" dataDxfId="25"/>
    <tableColumn id="4" xr3:uid="{6A4F7D69-5591-46F7-BD3E-BAEE81905613}" uniqueName="4" name="CoFederalIDNum" queryTableFieldId="258" dataDxfId="24"/>
    <tableColumn id="5" xr3:uid="{27E4D2FC-2520-4FAA-80EF-F3672EE7D0F2}" uniqueName="5" name="CoContact" queryTableFieldId="259" dataDxfId="23"/>
    <tableColumn id="6" xr3:uid="{35A4291A-F901-44D1-AD1A-624C995C5EC8}" uniqueName="6" name="CoDBA" queryTableFieldId="260" dataDxfId="22"/>
    <tableColumn id="7" xr3:uid="{FB03CA87-55DC-410A-8734-2D0E3E8AC2CC}" uniqueName="7" name="CoBusinessType" queryTableFieldId="261" dataDxfId="21"/>
    <tableColumn id="8" xr3:uid="{F621CFD5-D2A3-4379-B0F7-2C9BE7FC45A6}" uniqueName="8" name="CoPhone" queryTableFieldId="262" dataDxfId="20"/>
    <tableColumn id="9" xr3:uid="{23E0696E-9B2F-4239-9637-F1928289DA9C}" uniqueName="9" name="CoStateIncCode" queryTableFieldId="263" dataDxfId="19"/>
    <tableColumn id="10" xr3:uid="{F21A2D42-B81E-42F8-87E1-6772051D7A8F}" uniqueName="10" name="NAICS" queryTableFieldId="264" dataDxfId="18"/>
    <tableColumn id="11" xr3:uid="{8B1DB0CB-DAB5-4F95-92B9-8E6759FBEFBE}" uniqueName="11" name="IsSSN" queryTableFieldId="265"/>
    <tableColumn id="12" xr3:uid="{06A7B014-F669-4A68-8754-26BC8A0FD67F}" uniqueName="12" name="IsEIN" queryTableFieldId="266"/>
    <tableColumn id="13" xr3:uid="{A201573A-8D42-4930-85D3-C0A2E928E3A7}" uniqueName="13" name="LC_ID_CompanyStep1" queryTableFieldId="267"/>
    <tableColumn id="14" xr3:uid="{03F49FBA-FB84-4F87-8C6A-8FF960BBDA84}" uniqueName="14" name="T_CreatedDate" queryTableFieldId="268" dataDxfId="17"/>
    <tableColumn id="15" xr3:uid="{ECAD427C-4B6E-438F-AF8A-6F842CBC2679}" uniqueName="15" name="T_ModifiedDate" queryTableFieldId="269" dataDxfId="16"/>
    <tableColumn id="16" xr3:uid="{B2260B5D-7AB0-4304-8020-8F26DB4975E0}" uniqueName="16" name="T_DeletedDate" queryTableFieldId="270" dataDxfId="15"/>
    <tableColumn id="17" xr3:uid="{C362EE66-209A-43E8-B300-9137529208BE}" uniqueName="17" name="T_DeletedFlag" queryTableFieldId="271"/>
    <tableColumn id="18" xr3:uid="{03D2E6AE-E279-4A4B-A011-488466BF2975}" uniqueName="18" name="ID_CompanyStep3" queryTableFieldId="272"/>
    <tableColumn id="19" xr3:uid="{10576CD9-6042-45AB-8A81-6F5E6ABE6D79}" uniqueName="19" name="CompanyNum" queryTableFieldId="273"/>
    <tableColumn id="20" xr3:uid="{AE8573EC-C2E0-4998-A22E-19CC29DC0840}" uniqueName="20" name="CompanyRelation" queryTableFieldId="274"/>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37709B-9F2B-4078-BB6C-020D2A14BD2C}" name="Table4" displayName="Table4" ref="B1:H493" totalsRowShown="0" headerRowDxfId="14" dataDxfId="13">
  <autoFilter ref="B1:H493" xr:uid="{1E3F5045-00DC-4E6B-B685-F6EC589E143A}"/>
  <tableColumns count="7">
    <tableColumn id="6" xr3:uid="{C64F3E0D-D748-44A6-8555-65844E7BC70D}" name="Column1" dataDxfId="12">
      <calculatedColumnFormula>'Column Definition'!F8</calculatedColumnFormula>
    </tableColumn>
    <tableColumn id="7" xr3:uid="{3D3FCEC4-0FF6-43D9-BF4A-B23A43A41FB4}" name="Column2" dataDxfId="11">
      <calculatedColumnFormula>_xlfn.SWITCH(Table4[[#This Row],[Column1]],"int", 0, "Smallint", 0, "tinyint", 0, "Bit", 0, "varchar", "'A'", "nvarchar", "'A'", "char", "'A'", "numeric", 0,"decimal", 0, "date", "'01/01/2000'", "datetime", "'01/01/2000'", "")</calculatedColumnFormula>
    </tableColumn>
    <tableColumn id="1" xr3:uid="{5C1B7AB4-3C4F-4411-907B-33F93C4C8487}" name="ColumnName" dataDxfId="10">
      <calculatedColumnFormula>'Column Definition'!C8</calculatedColumnFormula>
    </tableColumn>
    <tableColumn id="2" xr3:uid="{668F62FE-5811-4A0A-A7DD-5903015DA2C5}" name="List" dataDxfId="9">
      <calculatedColumnFormula>", "&amp;D2</calculatedColumnFormula>
    </tableColumn>
    <tableColumn id="5" xr3:uid="{0465DE9D-2457-4111-9B7B-FE4600F52883}" name="Values" dataDxfId="8">
      <calculatedColumnFormula>", s."&amp;D2</calculatedColumnFormula>
    </tableColumn>
    <tableColumn id="3" xr3:uid="{4C932F28-01A2-4036-95CB-978E2E79B779}" name="Where" dataDxfId="7">
      <calculatedColumnFormula>"AND (s."&amp;D2&amp;" &lt;&gt; t." &amp; D2 &amp; " OR ( t." &amp; D2  &amp; " Is Null AND s." &amp;D2 &amp; " Is Not Null) OR ( t." &amp; D2  &amp; " Is not Null AND s." &amp;D2 &amp; " Is  Null))"</calculatedColumnFormula>
    </tableColumn>
    <tableColumn id="4" xr3:uid="{A438892D-DCA8-4654-8A34-438015E09989}" name="Update" dataDxfId="6">
      <calculatedColumnFormula>", t."&amp; D2  &amp; " = s." &amp; D2</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7E22E0D-E12A-40A8-A1B4-6794DE14B4E4}" name="Tables" displayName="Tables" ref="A1:C45" tableType="queryTable" totalsRowShown="0">
  <autoFilter ref="A1:C45" xr:uid="{7C0E6449-1662-40FB-833E-9EC8AB5304AE}"/>
  <tableColumns count="3">
    <tableColumn id="1" xr3:uid="{AFA3CF4A-5A37-45D2-A62A-F054B3C84BB8}" uniqueName="1" name="TABLE_SCHEMA" queryTableFieldId="1" dataDxfId="5"/>
    <tableColumn id="2" xr3:uid="{61554C5F-8C0B-4193-A26A-644925B7569C}" uniqueName="2" name="TABLE_NAME" queryTableFieldId="2" dataDxfId="4"/>
    <tableColumn id="3" xr3:uid="{410AD96F-5754-4EE6-B0DF-33DEF750410B}" uniqueName="3" name="TABLE_TYPE" queryTableFieldId="3" dataDxfId="3"/>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FE9B4F5-FA94-4B9F-A7DC-F44D99842CC9}" name="Database" displayName="Database" ref="A1:A20" tableType="queryTable" totalsRowShown="0">
  <autoFilter ref="A1:A20" xr:uid="{1CE58E45-906A-4243-B1CA-A2E7F72E2470}"/>
  <tableColumns count="1">
    <tableColumn id="1" xr3:uid="{03B6697C-3E16-4B4D-BD5C-C702DA65A4D9}" uniqueName="1" name="name" queryTableFieldId="1" dataDxf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A3AD0FD-9ABE-496E-A303-9F7B826ACE73}" name="Schemas" displayName="Schemas" ref="A1:A23" tableType="queryTable" totalsRowShown="0">
  <autoFilter ref="A1:A23" xr:uid="{6211280B-84A9-4769-9D96-0F4D6410F8C0}"/>
  <tableColumns count="1">
    <tableColumn id="1" xr3:uid="{9974FEA3-1204-44C8-85F2-59B88DC6F9AA}" uniqueName="1" name="TABLE_SCHEMA" queryTableFieldId="1" dataDxfId="1"/>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8.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3D0F70-FD03-428C-B650-BC722ED232C6}">
  <sheetPr codeName="Sheet5"/>
  <dimension ref="A1:A9"/>
  <sheetViews>
    <sheetView workbookViewId="0">
      <selection activeCell="A31" sqref="A31"/>
    </sheetView>
  </sheetViews>
  <sheetFormatPr defaultRowHeight="15" x14ac:dyDescent="0.25"/>
  <cols>
    <col min="1" max="1" width="42" customWidth="1"/>
  </cols>
  <sheetData>
    <row r="1" spans="1:1" x14ac:dyDescent="0.25">
      <c r="A1" t="s">
        <v>26</v>
      </c>
    </row>
    <row r="2" spans="1:1" x14ac:dyDescent="0.25">
      <c r="A2" t="s">
        <v>21</v>
      </c>
    </row>
    <row r="3" spans="1:1" x14ac:dyDescent="0.25">
      <c r="A3" t="s">
        <v>27</v>
      </c>
    </row>
    <row r="4" spans="1:1" x14ac:dyDescent="0.25">
      <c r="A4" t="s">
        <v>28</v>
      </c>
    </row>
    <row r="5" spans="1:1" x14ac:dyDescent="0.25">
      <c r="A5" t="s">
        <v>29</v>
      </c>
    </row>
    <row r="6" spans="1:1" x14ac:dyDescent="0.25">
      <c r="A6" t="s">
        <v>100</v>
      </c>
    </row>
    <row r="7" spans="1:1" x14ac:dyDescent="0.25">
      <c r="A7" t="s">
        <v>540</v>
      </c>
    </row>
    <row r="8" spans="1:1" x14ac:dyDescent="0.25">
      <c r="A8" t="s">
        <v>45</v>
      </c>
    </row>
    <row r="9" spans="1:1" x14ac:dyDescent="0.25">
      <c r="A9" t="s">
        <v>98</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5F993B-AAC1-4610-8441-7C9E3558352C}">
  <sheetPr codeName="Sheet1"/>
  <dimension ref="A1:O545"/>
  <sheetViews>
    <sheetView workbookViewId="0">
      <selection activeCell="B2" sqref="B2"/>
    </sheetView>
  </sheetViews>
  <sheetFormatPr defaultRowHeight="15" x14ac:dyDescent="0.25"/>
  <cols>
    <col min="1" max="1" width="16.28515625" customWidth="1"/>
    <col min="2" max="2" width="23.85546875" customWidth="1"/>
    <col min="3" max="3" width="35" customWidth="1"/>
    <col min="4" max="4" width="14.5703125" customWidth="1"/>
    <col min="5" max="5" width="10.140625" customWidth="1"/>
    <col min="6" max="6" width="13.42578125" bestFit="1" customWidth="1"/>
    <col min="7" max="7" width="7.42578125" customWidth="1"/>
    <col min="8" max="8" width="11.140625" customWidth="1"/>
    <col min="9" max="9" width="10.42578125" customWidth="1"/>
    <col min="10" max="10" width="11" customWidth="1"/>
    <col min="11" max="11" width="10.85546875" customWidth="1"/>
    <col min="12" max="12" width="15" bestFit="1" customWidth="1"/>
    <col min="13" max="13" width="20.5703125" bestFit="1" customWidth="1"/>
    <col min="14" max="14" width="23.7109375" bestFit="1" customWidth="1"/>
    <col min="15" max="15" width="11.140625" customWidth="1"/>
    <col min="16" max="16" width="14.42578125" bestFit="1" customWidth="1"/>
    <col min="17" max="17" width="17.85546875" bestFit="1" customWidth="1"/>
    <col min="18" max="18" width="22" bestFit="1" customWidth="1"/>
    <col min="19" max="19" width="32.5703125" bestFit="1" customWidth="1"/>
    <col min="20" max="20" width="41" bestFit="1" customWidth="1"/>
    <col min="21" max="21" width="21.42578125" bestFit="1" customWidth="1"/>
    <col min="22" max="22" width="25.140625" bestFit="1" customWidth="1"/>
    <col min="23" max="23" width="32.5703125" bestFit="1" customWidth="1"/>
    <col min="24" max="24" width="17.42578125" bestFit="1" customWidth="1"/>
    <col min="25" max="25" width="22.42578125" bestFit="1" customWidth="1"/>
    <col min="26" max="26" width="18.42578125" bestFit="1" customWidth="1"/>
    <col min="27" max="27" width="19.28515625" bestFit="1" customWidth="1"/>
    <col min="28" max="28" width="15.5703125" bestFit="1" customWidth="1"/>
    <col min="29" max="29" width="21" bestFit="1" customWidth="1"/>
    <col min="30" max="30" width="22.28515625" bestFit="1" customWidth="1"/>
    <col min="31" max="31" width="14.85546875" bestFit="1" customWidth="1"/>
    <col min="32" max="32" width="20.7109375" bestFit="1" customWidth="1"/>
    <col min="33" max="33" width="12.42578125" bestFit="1" customWidth="1"/>
    <col min="34" max="34" width="25.7109375" bestFit="1" customWidth="1"/>
    <col min="35" max="35" width="22" bestFit="1" customWidth="1"/>
    <col min="36" max="36" width="19.42578125" bestFit="1" customWidth="1"/>
    <col min="37" max="37" width="20.85546875" bestFit="1" customWidth="1"/>
    <col min="38" max="39" width="29.42578125" bestFit="1" customWidth="1"/>
    <col min="40" max="40" width="21.85546875" bestFit="1" customWidth="1"/>
    <col min="41" max="41" width="22.5703125" bestFit="1" customWidth="1"/>
    <col min="42" max="42" width="20" bestFit="1" customWidth="1"/>
    <col min="43" max="43" width="21.85546875" bestFit="1" customWidth="1"/>
    <col min="44" max="44" width="21.7109375" bestFit="1" customWidth="1"/>
    <col min="45" max="45" width="17" bestFit="1" customWidth="1"/>
    <col min="46" max="46" width="21.140625" bestFit="1" customWidth="1"/>
    <col min="47" max="47" width="24.85546875" bestFit="1" customWidth="1"/>
    <col min="48" max="48" width="17.7109375" bestFit="1" customWidth="1"/>
    <col min="49" max="49" width="24.5703125" bestFit="1" customWidth="1"/>
    <col min="50" max="50" width="25" bestFit="1" customWidth="1"/>
    <col min="51" max="51" width="11.85546875" bestFit="1" customWidth="1"/>
    <col min="52" max="52" width="20" bestFit="1" customWidth="1"/>
    <col min="53" max="53" width="23.28515625" bestFit="1" customWidth="1"/>
    <col min="54" max="54" width="23.85546875" bestFit="1" customWidth="1"/>
    <col min="55" max="55" width="28.85546875" bestFit="1" customWidth="1"/>
    <col min="56" max="56" width="29.85546875" bestFit="1" customWidth="1"/>
    <col min="57" max="59" width="31.140625" bestFit="1" customWidth="1"/>
    <col min="60" max="60" width="21.140625" bestFit="1" customWidth="1"/>
    <col min="61" max="61" width="19.5703125" bestFit="1" customWidth="1"/>
    <col min="62" max="62" width="17.28515625" bestFit="1" customWidth="1"/>
    <col min="63" max="63" width="18.140625" bestFit="1" customWidth="1"/>
    <col min="64" max="64" width="20.28515625" bestFit="1" customWidth="1"/>
    <col min="65" max="65" width="81.140625" bestFit="1" customWidth="1"/>
    <col min="66" max="73" width="18.42578125" bestFit="1" customWidth="1"/>
    <col min="74" max="74" width="27.5703125" bestFit="1" customWidth="1"/>
    <col min="75" max="75" width="24.85546875" bestFit="1" customWidth="1"/>
    <col min="76" max="77" width="21.28515625" bestFit="1" customWidth="1"/>
    <col min="78" max="80" width="26.5703125" bestFit="1" customWidth="1"/>
    <col min="81" max="83" width="23.85546875" bestFit="1" customWidth="1"/>
    <col min="84" max="84" width="24" bestFit="1" customWidth="1"/>
    <col min="85" max="85" width="26.28515625" bestFit="1" customWidth="1"/>
    <col min="86" max="86" width="29" bestFit="1" customWidth="1"/>
    <col min="87" max="87" width="25.5703125" bestFit="1" customWidth="1"/>
    <col min="88" max="88" width="22.42578125" bestFit="1" customWidth="1"/>
    <col min="89" max="89" width="26.42578125" bestFit="1" customWidth="1"/>
    <col min="90" max="104" width="15.7109375" bestFit="1" customWidth="1"/>
    <col min="105" max="106" width="19.7109375" bestFit="1" customWidth="1"/>
    <col min="107" max="107" width="14.5703125" bestFit="1" customWidth="1"/>
    <col min="108" max="108" width="15.85546875" bestFit="1" customWidth="1"/>
    <col min="109" max="109" width="21.28515625" bestFit="1" customWidth="1"/>
    <col min="110" max="110" width="18.42578125" bestFit="1" customWidth="1"/>
    <col min="111" max="111" width="14.85546875" bestFit="1" customWidth="1"/>
  </cols>
  <sheetData>
    <row r="1" spans="1:15" x14ac:dyDescent="0.25">
      <c r="A1" t="s">
        <v>15</v>
      </c>
      <c r="B1" t="s">
        <v>16</v>
      </c>
      <c r="C1" t="s">
        <v>22</v>
      </c>
    </row>
    <row r="2" spans="1:15" x14ac:dyDescent="0.25">
      <c r="A2" t="s">
        <v>20</v>
      </c>
      <c r="B2" t="s">
        <v>45</v>
      </c>
      <c r="C2">
        <v>1</v>
      </c>
    </row>
    <row r="3" spans="1:15" x14ac:dyDescent="0.25">
      <c r="A3" t="s">
        <v>19</v>
      </c>
      <c r="B3" t="s">
        <v>223</v>
      </c>
      <c r="C3">
        <v>2</v>
      </c>
    </row>
    <row r="4" spans="1:15" x14ac:dyDescent="0.25">
      <c r="A4" t="s">
        <v>18</v>
      </c>
      <c r="B4" t="s">
        <v>566</v>
      </c>
      <c r="C4">
        <v>3</v>
      </c>
    </row>
    <row r="5" spans="1:15" x14ac:dyDescent="0.25">
      <c r="A5" t="s">
        <v>17</v>
      </c>
      <c r="B5" t="s">
        <v>577</v>
      </c>
      <c r="C5">
        <v>4</v>
      </c>
    </row>
    <row r="7" spans="1:15" s="2" customFormat="1" ht="75" x14ac:dyDescent="0.25">
      <c r="A7" s="2" t="s">
        <v>0</v>
      </c>
      <c r="B7" s="2" t="s">
        <v>1</v>
      </c>
      <c r="C7" s="2" t="s">
        <v>2</v>
      </c>
      <c r="D7" s="2" t="s">
        <v>3</v>
      </c>
      <c r="E7" s="2" t="s">
        <v>4</v>
      </c>
      <c r="F7" s="2" t="s">
        <v>5</v>
      </c>
      <c r="G7" s="2" t="s">
        <v>6</v>
      </c>
      <c r="H7" s="2" t="s">
        <v>7</v>
      </c>
      <c r="I7" s="2" t="s">
        <v>8</v>
      </c>
      <c r="J7" s="2" t="s">
        <v>9</v>
      </c>
      <c r="K7" s="2" t="s">
        <v>10</v>
      </c>
      <c r="L7" s="2" t="s">
        <v>11</v>
      </c>
      <c r="M7" s="2" t="s">
        <v>12</v>
      </c>
      <c r="N7" s="2" t="s">
        <v>13</v>
      </c>
      <c r="O7" s="2" t="s">
        <v>14</v>
      </c>
    </row>
    <row r="8" spans="1:15" x14ac:dyDescent="0.25">
      <c r="A8" s="1" t="s">
        <v>566</v>
      </c>
      <c r="B8" s="1" t="s">
        <v>577</v>
      </c>
      <c r="C8" s="1" t="s">
        <v>606</v>
      </c>
      <c r="D8">
        <v>1</v>
      </c>
      <c r="E8" t="b">
        <v>0</v>
      </c>
      <c r="F8" s="1" t="s">
        <v>607</v>
      </c>
      <c r="G8">
        <v>10</v>
      </c>
      <c r="H8">
        <v>10</v>
      </c>
      <c r="I8">
        <v>0</v>
      </c>
      <c r="L8" s="1"/>
      <c r="M8" s="1"/>
      <c r="N8" s="1"/>
      <c r="O8">
        <v>0</v>
      </c>
    </row>
    <row r="9" spans="1:15" x14ac:dyDescent="0.25">
      <c r="A9" s="1" t="s">
        <v>566</v>
      </c>
      <c r="B9" s="1" t="s">
        <v>577</v>
      </c>
      <c r="C9" s="1" t="s">
        <v>608</v>
      </c>
      <c r="D9">
        <v>2</v>
      </c>
      <c r="E9" t="b">
        <v>1</v>
      </c>
      <c r="F9" s="1" t="s">
        <v>609</v>
      </c>
      <c r="H9">
        <v>0</v>
      </c>
      <c r="I9">
        <v>0</v>
      </c>
      <c r="K9">
        <v>100</v>
      </c>
      <c r="L9" s="1"/>
      <c r="M9" s="1"/>
      <c r="N9" s="1"/>
      <c r="O9">
        <v>1</v>
      </c>
    </row>
    <row r="10" spans="1:15" x14ac:dyDescent="0.25">
      <c r="A10" s="1" t="s">
        <v>566</v>
      </c>
      <c r="B10" s="1" t="s">
        <v>577</v>
      </c>
      <c r="C10" s="1" t="s">
        <v>610</v>
      </c>
      <c r="D10">
        <v>3</v>
      </c>
      <c r="E10" t="b">
        <v>1</v>
      </c>
      <c r="F10" s="1" t="s">
        <v>609</v>
      </c>
      <c r="H10">
        <v>0</v>
      </c>
      <c r="I10">
        <v>0</v>
      </c>
      <c r="K10">
        <v>4000</v>
      </c>
      <c r="L10" s="1"/>
      <c r="M10" s="1"/>
      <c r="N10" s="1"/>
      <c r="O10">
        <v>1</v>
      </c>
    </row>
    <row r="11" spans="1:15" x14ac:dyDescent="0.25">
      <c r="A11" s="1" t="s">
        <v>566</v>
      </c>
      <c r="B11" s="1" t="s">
        <v>577</v>
      </c>
      <c r="C11" s="1" t="s">
        <v>611</v>
      </c>
      <c r="D11">
        <v>4</v>
      </c>
      <c r="E11" t="b">
        <v>1</v>
      </c>
      <c r="F11" s="1" t="s">
        <v>609</v>
      </c>
      <c r="H11">
        <v>0</v>
      </c>
      <c r="I11">
        <v>0</v>
      </c>
      <c r="K11">
        <v>4000</v>
      </c>
      <c r="L11" s="1"/>
      <c r="M11" s="1"/>
      <c r="N11" s="1"/>
      <c r="O11">
        <v>1</v>
      </c>
    </row>
    <row r="12" spans="1:15" x14ac:dyDescent="0.25">
      <c r="A12" s="1" t="s">
        <v>566</v>
      </c>
      <c r="B12" s="1" t="s">
        <v>577</v>
      </c>
      <c r="C12" s="1" t="s">
        <v>612</v>
      </c>
      <c r="D12">
        <v>5</v>
      </c>
      <c r="E12" t="b">
        <v>1</v>
      </c>
      <c r="F12" s="1" t="s">
        <v>609</v>
      </c>
      <c r="H12">
        <v>0</v>
      </c>
      <c r="I12">
        <v>0</v>
      </c>
      <c r="K12">
        <v>4000</v>
      </c>
      <c r="L12" s="1"/>
      <c r="M12" s="1"/>
      <c r="N12" s="1"/>
      <c r="O12">
        <v>1</v>
      </c>
    </row>
    <row r="13" spans="1:15" x14ac:dyDescent="0.25">
      <c r="A13" s="1" t="s">
        <v>566</v>
      </c>
      <c r="B13" s="1" t="s">
        <v>577</v>
      </c>
      <c r="C13" s="1" t="s">
        <v>613</v>
      </c>
      <c r="D13">
        <v>6</v>
      </c>
      <c r="E13" t="b">
        <v>1</v>
      </c>
      <c r="F13" s="1" t="s">
        <v>609</v>
      </c>
      <c r="H13">
        <v>0</v>
      </c>
      <c r="I13">
        <v>0</v>
      </c>
      <c r="K13">
        <v>4000</v>
      </c>
      <c r="L13" s="1"/>
      <c r="M13" s="1"/>
      <c r="N13" s="1"/>
      <c r="O13">
        <v>1</v>
      </c>
    </row>
    <row r="14" spans="1:15" x14ac:dyDescent="0.25">
      <c r="A14" s="1" t="s">
        <v>566</v>
      </c>
      <c r="B14" s="1" t="s">
        <v>577</v>
      </c>
      <c r="C14" s="1" t="s">
        <v>614</v>
      </c>
      <c r="D14">
        <v>7</v>
      </c>
      <c r="E14" t="b">
        <v>1</v>
      </c>
      <c r="F14" s="1" t="s">
        <v>609</v>
      </c>
      <c r="H14">
        <v>0</v>
      </c>
      <c r="I14">
        <v>0</v>
      </c>
      <c r="K14">
        <v>4000</v>
      </c>
      <c r="L14" s="1"/>
      <c r="M14" s="1"/>
      <c r="N14" s="1"/>
      <c r="O14">
        <v>1</v>
      </c>
    </row>
    <row r="15" spans="1:15" x14ac:dyDescent="0.25">
      <c r="A15" s="1" t="s">
        <v>566</v>
      </c>
      <c r="B15" s="1" t="s">
        <v>577</v>
      </c>
      <c r="C15" s="1" t="s">
        <v>615</v>
      </c>
      <c r="D15">
        <v>8</v>
      </c>
      <c r="E15" t="b">
        <v>1</v>
      </c>
      <c r="F15" s="1" t="s">
        <v>609</v>
      </c>
      <c r="H15">
        <v>0</v>
      </c>
      <c r="I15">
        <v>0</v>
      </c>
      <c r="K15">
        <v>4000</v>
      </c>
      <c r="L15" s="1"/>
      <c r="M15" s="1"/>
      <c r="N15" s="1"/>
      <c r="O15">
        <v>1</v>
      </c>
    </row>
    <row r="16" spans="1:15" x14ac:dyDescent="0.25">
      <c r="A16" s="1" t="s">
        <v>566</v>
      </c>
      <c r="B16" s="1" t="s">
        <v>577</v>
      </c>
      <c r="C16" s="1" t="s">
        <v>616</v>
      </c>
      <c r="D16">
        <v>9</v>
      </c>
      <c r="E16" t="b">
        <v>1</v>
      </c>
      <c r="F16" s="1" t="s">
        <v>609</v>
      </c>
      <c r="H16">
        <v>0</v>
      </c>
      <c r="I16">
        <v>0</v>
      </c>
      <c r="K16">
        <v>4000</v>
      </c>
      <c r="L16" s="1"/>
      <c r="M16" s="1"/>
      <c r="N16" s="1"/>
      <c r="O16">
        <v>1</v>
      </c>
    </row>
    <row r="17" spans="1:15" x14ac:dyDescent="0.25">
      <c r="A17" s="1" t="s">
        <v>566</v>
      </c>
      <c r="B17" s="1" t="s">
        <v>577</v>
      </c>
      <c r="C17" s="1" t="s">
        <v>617</v>
      </c>
      <c r="D17">
        <v>10</v>
      </c>
      <c r="E17" t="b">
        <v>1</v>
      </c>
      <c r="F17" s="1" t="s">
        <v>609</v>
      </c>
      <c r="H17">
        <v>0</v>
      </c>
      <c r="I17">
        <v>0</v>
      </c>
      <c r="K17">
        <v>4000</v>
      </c>
      <c r="L17" s="1"/>
      <c r="M17" s="1"/>
      <c r="N17" s="1"/>
      <c r="O17">
        <v>1</v>
      </c>
    </row>
    <row r="18" spans="1:15" x14ac:dyDescent="0.25">
      <c r="A18" s="1" t="s">
        <v>566</v>
      </c>
      <c r="B18" s="1" t="s">
        <v>577</v>
      </c>
      <c r="C18" s="1" t="s">
        <v>618</v>
      </c>
      <c r="D18">
        <v>11</v>
      </c>
      <c r="E18" t="b">
        <v>0</v>
      </c>
      <c r="F18" s="1" t="s">
        <v>607</v>
      </c>
      <c r="G18">
        <v>10</v>
      </c>
      <c r="H18">
        <v>10</v>
      </c>
      <c r="I18">
        <v>0</v>
      </c>
      <c r="L18" s="1"/>
      <c r="M18" s="1" t="s">
        <v>619</v>
      </c>
      <c r="N18" s="1"/>
      <c r="O18">
        <v>1</v>
      </c>
    </row>
    <row r="19" spans="1:15" x14ac:dyDescent="0.25">
      <c r="A19" s="1" t="s">
        <v>566</v>
      </c>
      <c r="B19" s="1" t="s">
        <v>577</v>
      </c>
      <c r="C19" s="1" t="s">
        <v>620</v>
      </c>
      <c r="D19">
        <v>12</v>
      </c>
      <c r="E19" t="b">
        <v>0</v>
      </c>
      <c r="F19" s="1" t="s">
        <v>607</v>
      </c>
      <c r="G19">
        <v>10</v>
      </c>
      <c r="H19">
        <v>10</v>
      </c>
      <c r="I19">
        <v>0</v>
      </c>
      <c r="L19" s="1"/>
      <c r="M19" s="1" t="s">
        <v>619</v>
      </c>
      <c r="N19" s="1"/>
      <c r="O19">
        <v>1</v>
      </c>
    </row>
    <row r="20" spans="1:15" x14ac:dyDescent="0.25">
      <c r="A20" s="1" t="s">
        <v>566</v>
      </c>
      <c r="B20" s="1" t="s">
        <v>577</v>
      </c>
      <c r="C20" s="1" t="s">
        <v>621</v>
      </c>
      <c r="D20">
        <v>13</v>
      </c>
      <c r="E20" t="b">
        <v>1</v>
      </c>
      <c r="F20" s="1" t="s">
        <v>607</v>
      </c>
      <c r="G20">
        <v>10</v>
      </c>
      <c r="H20">
        <v>10</v>
      </c>
      <c r="I20">
        <v>0</v>
      </c>
      <c r="L20" s="1"/>
      <c r="M20" s="1"/>
      <c r="N20" s="1"/>
      <c r="O20">
        <v>1</v>
      </c>
    </row>
    <row r="21" spans="1:15" x14ac:dyDescent="0.25">
      <c r="A21" s="1" t="s">
        <v>566</v>
      </c>
      <c r="B21" s="1" t="s">
        <v>577</v>
      </c>
      <c r="C21" s="1" t="s">
        <v>622</v>
      </c>
      <c r="D21">
        <v>14</v>
      </c>
      <c r="E21" t="b">
        <v>1</v>
      </c>
      <c r="F21" s="1" t="s">
        <v>623</v>
      </c>
      <c r="H21">
        <v>23</v>
      </c>
      <c r="I21">
        <v>3</v>
      </c>
      <c r="J21">
        <v>3</v>
      </c>
      <c r="L21" s="1"/>
      <c r="M21" s="1"/>
      <c r="N21" s="1"/>
      <c r="O21">
        <v>1</v>
      </c>
    </row>
    <row r="22" spans="1:15" x14ac:dyDescent="0.25">
      <c r="A22" s="1" t="s">
        <v>566</v>
      </c>
      <c r="B22" s="1" t="s">
        <v>577</v>
      </c>
      <c r="C22" s="1" t="s">
        <v>624</v>
      </c>
      <c r="D22">
        <v>15</v>
      </c>
      <c r="E22" t="b">
        <v>1</v>
      </c>
      <c r="F22" s="1" t="s">
        <v>623</v>
      </c>
      <c r="H22">
        <v>23</v>
      </c>
      <c r="I22">
        <v>3</v>
      </c>
      <c r="J22">
        <v>3</v>
      </c>
      <c r="L22" s="1"/>
      <c r="M22" s="1"/>
      <c r="N22" s="1"/>
      <c r="O22">
        <v>1</v>
      </c>
    </row>
    <row r="23" spans="1:15" x14ac:dyDescent="0.25">
      <c r="A23" s="1" t="s">
        <v>566</v>
      </c>
      <c r="B23" s="1" t="s">
        <v>577</v>
      </c>
      <c r="C23" s="1" t="s">
        <v>625</v>
      </c>
      <c r="D23">
        <v>16</v>
      </c>
      <c r="E23" t="b">
        <v>1</v>
      </c>
      <c r="F23" s="1" t="s">
        <v>623</v>
      </c>
      <c r="H23">
        <v>23</v>
      </c>
      <c r="I23">
        <v>3</v>
      </c>
      <c r="J23">
        <v>3</v>
      </c>
      <c r="L23" s="1"/>
      <c r="M23" s="1"/>
      <c r="N23" s="1"/>
      <c r="O23">
        <v>1</v>
      </c>
    </row>
    <row r="24" spans="1:15" x14ac:dyDescent="0.25">
      <c r="A24" s="1" t="s">
        <v>566</v>
      </c>
      <c r="B24" s="1" t="s">
        <v>577</v>
      </c>
      <c r="C24" s="1" t="s">
        <v>626</v>
      </c>
      <c r="D24">
        <v>17</v>
      </c>
      <c r="E24" t="b">
        <v>1</v>
      </c>
      <c r="F24" s="1" t="s">
        <v>627</v>
      </c>
      <c r="G24">
        <v>10</v>
      </c>
      <c r="H24">
        <v>3</v>
      </c>
      <c r="I24">
        <v>0</v>
      </c>
      <c r="L24" s="1"/>
      <c r="M24" s="1"/>
      <c r="N24" s="1"/>
      <c r="O24">
        <v>1</v>
      </c>
    </row>
    <row r="25" spans="1:15" x14ac:dyDescent="0.25">
      <c r="A25" s="1" t="s">
        <v>566</v>
      </c>
      <c r="B25" s="1" t="s">
        <v>577</v>
      </c>
      <c r="C25" s="1" t="s">
        <v>628</v>
      </c>
      <c r="D25">
        <v>18</v>
      </c>
      <c r="E25" t="b">
        <v>1</v>
      </c>
      <c r="F25" s="1" t="s">
        <v>607</v>
      </c>
      <c r="G25">
        <v>10</v>
      </c>
      <c r="H25">
        <v>10</v>
      </c>
      <c r="I25">
        <v>0</v>
      </c>
      <c r="L25" s="1"/>
      <c r="M25" s="1"/>
      <c r="N25" s="1"/>
      <c r="O25">
        <v>1</v>
      </c>
    </row>
    <row r="26" spans="1:15" x14ac:dyDescent="0.25">
      <c r="A26" s="1" t="s">
        <v>566</v>
      </c>
      <c r="B26" s="1" t="s">
        <v>577</v>
      </c>
      <c r="C26" s="1" t="s">
        <v>629</v>
      </c>
      <c r="D26">
        <v>19</v>
      </c>
      <c r="E26" t="b">
        <v>1</v>
      </c>
      <c r="F26" s="1" t="s">
        <v>607</v>
      </c>
      <c r="G26">
        <v>10</v>
      </c>
      <c r="H26">
        <v>10</v>
      </c>
      <c r="I26">
        <v>0</v>
      </c>
      <c r="L26" s="1"/>
      <c r="M26" s="1"/>
      <c r="N26" s="1"/>
      <c r="O26">
        <v>1</v>
      </c>
    </row>
    <row r="27" spans="1:15" x14ac:dyDescent="0.25">
      <c r="A27" s="1" t="s">
        <v>566</v>
      </c>
      <c r="B27" s="1" t="s">
        <v>577</v>
      </c>
      <c r="C27" s="1" t="s">
        <v>630</v>
      </c>
      <c r="D27">
        <v>20</v>
      </c>
      <c r="E27" t="b">
        <v>1</v>
      </c>
      <c r="F27" s="1" t="s">
        <v>627</v>
      </c>
      <c r="G27">
        <v>10</v>
      </c>
      <c r="H27">
        <v>3</v>
      </c>
      <c r="I27">
        <v>0</v>
      </c>
      <c r="L27" s="1"/>
      <c r="M27" s="1"/>
      <c r="N27" s="1"/>
      <c r="O27">
        <v>1</v>
      </c>
    </row>
    <row r="28" spans="1:15" x14ac:dyDescent="0.25">
      <c r="A28" s="1"/>
      <c r="B28" s="1"/>
      <c r="C28" s="1"/>
      <c r="F28" s="1"/>
      <c r="L28" s="1"/>
      <c r="M28" s="1"/>
      <c r="N28" s="1"/>
    </row>
    <row r="29" spans="1:15" x14ac:dyDescent="0.25">
      <c r="A29" s="1"/>
      <c r="B29" s="1"/>
      <c r="C29" s="1"/>
      <c r="F29" s="1"/>
      <c r="L29" s="1"/>
      <c r="M29" s="1"/>
      <c r="N29" s="1"/>
    </row>
    <row r="30" spans="1:15" x14ac:dyDescent="0.25">
      <c r="A30" s="1"/>
      <c r="B30" s="1"/>
      <c r="C30" s="1"/>
      <c r="F30" s="1"/>
      <c r="L30" s="1"/>
      <c r="M30" s="1"/>
      <c r="N30" s="1"/>
    </row>
    <row r="31" spans="1:15" x14ac:dyDescent="0.25">
      <c r="A31" s="1"/>
      <c r="B31" s="1"/>
      <c r="C31" s="1"/>
      <c r="F31" s="1"/>
      <c r="L31" s="1"/>
      <c r="M31" s="1"/>
      <c r="N31" s="1"/>
    </row>
    <row r="32" spans="1:15" x14ac:dyDescent="0.25">
      <c r="A32" s="1"/>
      <c r="B32" s="1"/>
      <c r="C32" s="1"/>
      <c r="F32" s="1"/>
      <c r="L32" s="1"/>
      <c r="M32" s="1"/>
      <c r="N32" s="1"/>
    </row>
    <row r="33" spans="1:14" x14ac:dyDescent="0.25">
      <c r="A33" s="1"/>
      <c r="B33" s="1"/>
      <c r="C33" s="1"/>
      <c r="F33" s="1"/>
      <c r="L33" s="1"/>
      <c r="M33" s="1"/>
      <c r="N33" s="1"/>
    </row>
    <row r="34" spans="1:14" x14ac:dyDescent="0.25">
      <c r="A34" s="1"/>
      <c r="B34" s="1"/>
      <c r="C34" s="1"/>
      <c r="F34" s="1"/>
      <c r="L34" s="1"/>
      <c r="M34" s="1"/>
      <c r="N34" s="1"/>
    </row>
    <row r="35" spans="1:14" x14ac:dyDescent="0.25">
      <c r="A35" s="1"/>
      <c r="B35" s="1"/>
      <c r="C35" s="1"/>
      <c r="F35" s="1"/>
      <c r="L35" s="1"/>
      <c r="M35" s="1"/>
      <c r="N35" s="1"/>
    </row>
    <row r="36" spans="1:14" x14ac:dyDescent="0.25">
      <c r="A36" s="1"/>
      <c r="B36" s="1"/>
      <c r="C36" s="1"/>
      <c r="F36" s="1"/>
      <c r="L36" s="1"/>
      <c r="M36" s="1"/>
      <c r="N36" s="1"/>
    </row>
    <row r="37" spans="1:14" x14ac:dyDescent="0.25">
      <c r="A37" s="1"/>
      <c r="B37" s="1"/>
      <c r="C37" s="1"/>
      <c r="F37" s="1"/>
      <c r="L37" s="1"/>
      <c r="M37" s="1"/>
      <c r="N37" s="1"/>
    </row>
    <row r="38" spans="1:14" x14ac:dyDescent="0.25">
      <c r="A38" s="1"/>
      <c r="B38" s="1"/>
      <c r="C38" s="1"/>
      <c r="F38" s="1"/>
      <c r="L38" s="1"/>
      <c r="M38" s="1"/>
      <c r="N38" s="1"/>
    </row>
    <row r="39" spans="1:14" x14ac:dyDescent="0.25">
      <c r="A39" s="1"/>
      <c r="B39" s="1"/>
      <c r="C39" s="1"/>
      <c r="F39" s="1"/>
      <c r="L39" s="1"/>
      <c r="M39" s="1"/>
      <c r="N39" s="1"/>
    </row>
    <row r="40" spans="1:14" x14ac:dyDescent="0.25">
      <c r="A40" s="1"/>
      <c r="B40" s="1"/>
      <c r="C40" s="1"/>
      <c r="F40" s="1"/>
      <c r="L40" s="1"/>
      <c r="M40" s="1"/>
      <c r="N40" s="1"/>
    </row>
    <row r="41" spans="1:14" x14ac:dyDescent="0.25">
      <c r="A41" s="1"/>
      <c r="B41" s="1"/>
      <c r="C41" s="1"/>
      <c r="F41" s="1"/>
      <c r="L41" s="1"/>
      <c r="M41" s="1"/>
      <c r="N41" s="1"/>
    </row>
    <row r="42" spans="1:14" x14ac:dyDescent="0.25">
      <c r="A42" s="1"/>
      <c r="B42" s="1"/>
      <c r="C42" s="1"/>
      <c r="F42" s="1"/>
      <c r="L42" s="1"/>
      <c r="M42" s="1"/>
      <c r="N42" s="1"/>
    </row>
    <row r="43" spans="1:14" x14ac:dyDescent="0.25">
      <c r="A43" s="1"/>
      <c r="B43" s="1"/>
      <c r="C43" s="1"/>
      <c r="F43" s="1"/>
      <c r="L43" s="1"/>
      <c r="M43" s="1"/>
      <c r="N43" s="1"/>
    </row>
    <row r="44" spans="1:14" x14ac:dyDescent="0.25">
      <c r="A44" s="1"/>
      <c r="B44" s="1"/>
      <c r="C44" s="1"/>
      <c r="F44" s="1"/>
      <c r="L44" s="1"/>
      <c r="M44" s="1"/>
      <c r="N44" s="1"/>
    </row>
    <row r="45" spans="1:14" x14ac:dyDescent="0.25">
      <c r="A45" s="1"/>
      <c r="B45" s="1"/>
      <c r="C45" s="1"/>
      <c r="F45" s="1"/>
      <c r="L45" s="1"/>
      <c r="M45" s="1"/>
      <c r="N45" s="1"/>
    </row>
    <row r="46" spans="1:14" x14ac:dyDescent="0.25">
      <c r="A46" s="1"/>
      <c r="B46" s="1"/>
      <c r="C46" s="1"/>
      <c r="F46" s="1"/>
      <c r="L46" s="1"/>
      <c r="M46" s="1"/>
      <c r="N46" s="1"/>
    </row>
    <row r="47" spans="1:14" x14ac:dyDescent="0.25">
      <c r="A47" s="1"/>
      <c r="B47" s="1"/>
      <c r="C47" s="1"/>
      <c r="F47" s="1"/>
      <c r="L47" s="1"/>
      <c r="M47" s="1"/>
      <c r="N47" s="1"/>
    </row>
    <row r="48" spans="1:14" x14ac:dyDescent="0.25">
      <c r="A48" s="1"/>
      <c r="B48" s="1"/>
      <c r="C48" s="1"/>
      <c r="F48" s="1"/>
      <c r="L48" s="1"/>
      <c r="M48" s="1"/>
      <c r="N48" s="1"/>
    </row>
    <row r="49" spans="1:14" x14ac:dyDescent="0.25">
      <c r="A49" s="1"/>
      <c r="B49" s="1"/>
      <c r="C49" s="1"/>
      <c r="F49" s="1"/>
      <c r="L49" s="1"/>
      <c r="M49" s="1"/>
      <c r="N49" s="1"/>
    </row>
    <row r="50" spans="1:14" x14ac:dyDescent="0.25">
      <c r="A50" s="1"/>
      <c r="B50" s="1"/>
      <c r="C50" s="1"/>
      <c r="F50" s="1"/>
      <c r="L50" s="1"/>
      <c r="M50" s="1"/>
      <c r="N50" s="1"/>
    </row>
    <row r="51" spans="1:14" x14ac:dyDescent="0.25">
      <c r="A51" s="1"/>
      <c r="B51" s="1"/>
      <c r="C51" s="1"/>
      <c r="F51" s="1"/>
      <c r="L51" s="1"/>
      <c r="M51" s="1"/>
      <c r="N51" s="1"/>
    </row>
    <row r="52" spans="1:14" x14ac:dyDescent="0.25">
      <c r="A52" s="1"/>
      <c r="B52" s="1"/>
      <c r="C52" s="1"/>
      <c r="F52" s="1"/>
      <c r="L52" s="1"/>
      <c r="M52" s="1"/>
      <c r="N52" s="1"/>
    </row>
    <row r="53" spans="1:14" x14ac:dyDescent="0.25">
      <c r="A53" s="1"/>
      <c r="B53" s="1"/>
      <c r="C53" s="1"/>
      <c r="F53" s="1"/>
      <c r="L53" s="1"/>
      <c r="M53" s="1"/>
      <c r="N53" s="1"/>
    </row>
    <row r="54" spans="1:14" x14ac:dyDescent="0.25">
      <c r="A54" s="1"/>
      <c r="B54" s="1"/>
      <c r="C54" s="1"/>
      <c r="F54" s="1"/>
      <c r="L54" s="1"/>
      <c r="M54" s="1"/>
      <c r="N54" s="1"/>
    </row>
    <row r="55" spans="1:14" x14ac:dyDescent="0.25">
      <c r="A55" s="1"/>
      <c r="B55" s="1"/>
      <c r="C55" s="1"/>
      <c r="F55" s="1"/>
      <c r="L55" s="1"/>
      <c r="M55" s="1"/>
      <c r="N55" s="1"/>
    </row>
    <row r="56" spans="1:14" x14ac:dyDescent="0.25">
      <c r="A56" s="1"/>
      <c r="B56" s="1"/>
      <c r="C56" s="1"/>
      <c r="F56" s="1"/>
      <c r="L56" s="1"/>
      <c r="M56" s="1"/>
      <c r="N56" s="1"/>
    </row>
    <row r="57" spans="1:14" x14ac:dyDescent="0.25">
      <c r="A57" s="1"/>
      <c r="B57" s="1"/>
      <c r="C57" s="1"/>
      <c r="F57" s="1"/>
      <c r="L57" s="1"/>
      <c r="M57" s="1"/>
      <c r="N57" s="1"/>
    </row>
    <row r="58" spans="1:14" x14ac:dyDescent="0.25">
      <c r="A58" s="1"/>
      <c r="B58" s="1"/>
      <c r="C58" s="1"/>
      <c r="F58" s="1"/>
      <c r="L58" s="1"/>
      <c r="M58" s="1"/>
      <c r="N58" s="1"/>
    </row>
    <row r="59" spans="1:14" x14ac:dyDescent="0.25">
      <c r="A59" s="1"/>
      <c r="B59" s="1"/>
      <c r="C59" s="1"/>
      <c r="F59" s="1"/>
      <c r="L59" s="1"/>
      <c r="M59" s="1"/>
      <c r="N59" s="1"/>
    </row>
    <row r="60" spans="1:14" x14ac:dyDescent="0.25">
      <c r="A60" s="1"/>
      <c r="B60" s="1"/>
      <c r="C60" s="1"/>
      <c r="F60" s="1"/>
      <c r="L60" s="1"/>
      <c r="M60" s="1"/>
      <c r="N60" s="1"/>
    </row>
    <row r="61" spans="1:14" x14ac:dyDescent="0.25">
      <c r="A61" s="1"/>
      <c r="B61" s="1"/>
      <c r="C61" s="1"/>
      <c r="F61" s="1"/>
      <c r="L61" s="1"/>
      <c r="M61" s="1"/>
      <c r="N61" s="1"/>
    </row>
    <row r="62" spans="1:14" x14ac:dyDescent="0.25">
      <c r="A62" s="1"/>
      <c r="B62" s="1"/>
      <c r="C62" s="1"/>
      <c r="F62" s="1"/>
      <c r="L62" s="1"/>
      <c r="M62" s="1"/>
      <c r="N62" s="1"/>
    </row>
    <row r="63" spans="1:14" x14ac:dyDescent="0.25">
      <c r="A63" s="1"/>
      <c r="B63" s="1"/>
      <c r="C63" s="1"/>
      <c r="F63" s="1"/>
      <c r="L63" s="1"/>
      <c r="M63" s="1"/>
      <c r="N63" s="1"/>
    </row>
    <row r="64" spans="1:14" x14ac:dyDescent="0.25">
      <c r="A64" s="1"/>
      <c r="B64" s="1"/>
      <c r="C64" s="1"/>
      <c r="F64" s="1"/>
      <c r="L64" s="1"/>
      <c r="M64" s="1"/>
      <c r="N64" s="1"/>
    </row>
    <row r="65" spans="1:14" x14ac:dyDescent="0.25">
      <c r="A65" s="1"/>
      <c r="B65" s="1"/>
      <c r="C65" s="1"/>
      <c r="F65" s="1"/>
      <c r="L65" s="1"/>
      <c r="M65" s="1"/>
      <c r="N65" s="1"/>
    </row>
    <row r="66" spans="1:14" x14ac:dyDescent="0.25">
      <c r="A66" s="1"/>
      <c r="B66" s="1"/>
      <c r="C66" s="1"/>
      <c r="F66" s="1"/>
      <c r="L66" s="1"/>
      <c r="M66" s="1"/>
      <c r="N66" s="1"/>
    </row>
    <row r="67" spans="1:14" x14ac:dyDescent="0.25">
      <c r="A67" s="1"/>
      <c r="B67" s="1"/>
      <c r="C67" s="1"/>
      <c r="F67" s="1"/>
      <c r="L67" s="1"/>
      <c r="M67" s="1"/>
      <c r="N67" s="1"/>
    </row>
    <row r="68" spans="1:14" x14ac:dyDescent="0.25">
      <c r="A68" s="1"/>
      <c r="B68" s="1"/>
      <c r="C68" s="1"/>
      <c r="F68" s="1"/>
      <c r="L68" s="1"/>
      <c r="M68" s="1"/>
      <c r="N68" s="1"/>
    </row>
    <row r="69" spans="1:14" x14ac:dyDescent="0.25">
      <c r="A69" s="1"/>
      <c r="B69" s="1"/>
      <c r="C69" s="1"/>
      <c r="F69" s="1"/>
      <c r="L69" s="1"/>
      <c r="M69" s="1"/>
      <c r="N69" s="1"/>
    </row>
    <row r="70" spans="1:14" x14ac:dyDescent="0.25">
      <c r="A70" s="1"/>
      <c r="B70" s="1"/>
      <c r="C70" s="1"/>
      <c r="F70" s="1"/>
      <c r="L70" s="1"/>
      <c r="M70" s="1"/>
      <c r="N70" s="1"/>
    </row>
    <row r="71" spans="1:14" x14ac:dyDescent="0.25">
      <c r="A71" s="1"/>
      <c r="B71" s="1"/>
      <c r="C71" s="1"/>
      <c r="F71" s="1"/>
      <c r="L71" s="1"/>
      <c r="M71" s="1"/>
      <c r="N71" s="1"/>
    </row>
    <row r="72" spans="1:14" x14ac:dyDescent="0.25">
      <c r="A72" s="1"/>
      <c r="B72" s="1"/>
      <c r="C72" s="1"/>
      <c r="F72" s="1"/>
      <c r="L72" s="1"/>
      <c r="M72" s="1"/>
      <c r="N72" s="1"/>
    </row>
    <row r="73" spans="1:14" x14ac:dyDescent="0.25">
      <c r="A73" s="1"/>
      <c r="B73" s="1"/>
      <c r="C73" s="1"/>
      <c r="F73" s="1"/>
      <c r="L73" s="1"/>
      <c r="M73" s="1"/>
      <c r="N73" s="1"/>
    </row>
    <row r="74" spans="1:14" x14ac:dyDescent="0.25">
      <c r="A74" s="1"/>
      <c r="B74" s="1"/>
      <c r="C74" s="1"/>
      <c r="F74" s="1"/>
      <c r="L74" s="1"/>
      <c r="M74" s="1"/>
      <c r="N74" s="1"/>
    </row>
    <row r="75" spans="1:14" x14ac:dyDescent="0.25">
      <c r="A75" s="1"/>
      <c r="B75" s="1"/>
      <c r="C75" s="1"/>
      <c r="F75" s="1"/>
      <c r="L75" s="1"/>
      <c r="M75" s="1"/>
      <c r="N75" s="1"/>
    </row>
    <row r="76" spans="1:14" x14ac:dyDescent="0.25">
      <c r="A76" s="1"/>
      <c r="B76" s="1"/>
      <c r="C76" s="1"/>
      <c r="F76" s="1"/>
      <c r="L76" s="1"/>
      <c r="M76" s="1"/>
      <c r="N76" s="1"/>
    </row>
    <row r="77" spans="1:14" x14ac:dyDescent="0.25">
      <c r="A77" s="1"/>
      <c r="B77" s="1"/>
      <c r="C77" s="1"/>
      <c r="F77" s="1"/>
      <c r="L77" s="1"/>
      <c r="M77" s="1"/>
      <c r="N77" s="1"/>
    </row>
    <row r="78" spans="1:14" x14ac:dyDescent="0.25">
      <c r="A78" s="1"/>
      <c r="B78" s="1"/>
      <c r="C78" s="1"/>
      <c r="F78" s="1"/>
      <c r="L78" s="1"/>
      <c r="M78" s="1"/>
      <c r="N78" s="1"/>
    </row>
    <row r="79" spans="1:14" x14ac:dyDescent="0.25">
      <c r="A79" s="1"/>
      <c r="B79" s="1"/>
      <c r="C79" s="1"/>
      <c r="F79" s="1"/>
      <c r="L79" s="1"/>
      <c r="M79" s="1"/>
      <c r="N79" s="1"/>
    </row>
    <row r="80" spans="1:14" x14ac:dyDescent="0.25">
      <c r="A80" s="1"/>
      <c r="B80" s="1"/>
      <c r="C80" s="1"/>
      <c r="F80" s="1"/>
      <c r="L80" s="1"/>
      <c r="M80" s="1"/>
      <c r="N80" s="1"/>
    </row>
    <row r="81" spans="1:14" x14ac:dyDescent="0.25">
      <c r="A81" s="1"/>
      <c r="B81" s="1"/>
      <c r="C81" s="1"/>
      <c r="F81" s="1"/>
      <c r="L81" s="1"/>
      <c r="M81" s="1"/>
      <c r="N81" s="1"/>
    </row>
    <row r="82" spans="1:14" x14ac:dyDescent="0.25">
      <c r="A82" s="1"/>
      <c r="B82" s="1"/>
      <c r="C82" s="1"/>
      <c r="F82" s="1"/>
      <c r="L82" s="1"/>
      <c r="M82" s="1"/>
      <c r="N82" s="1"/>
    </row>
    <row r="83" spans="1:14" x14ac:dyDescent="0.25">
      <c r="A83" s="1"/>
      <c r="B83" s="1"/>
      <c r="C83" s="1"/>
      <c r="F83" s="1"/>
      <c r="L83" s="1"/>
      <c r="M83" s="1"/>
      <c r="N83" s="1"/>
    </row>
    <row r="84" spans="1:14" x14ac:dyDescent="0.25">
      <c r="A84" s="1"/>
      <c r="B84" s="1"/>
      <c r="C84" s="1"/>
      <c r="F84" s="1"/>
      <c r="L84" s="1"/>
      <c r="M84" s="1"/>
      <c r="N84" s="1"/>
    </row>
    <row r="85" spans="1:14" x14ac:dyDescent="0.25">
      <c r="A85" s="1"/>
      <c r="B85" s="1"/>
      <c r="C85" s="1"/>
      <c r="F85" s="1"/>
      <c r="L85" s="1"/>
      <c r="M85" s="1"/>
      <c r="N85" s="1"/>
    </row>
    <row r="86" spans="1:14" x14ac:dyDescent="0.25">
      <c r="A86" s="1"/>
      <c r="B86" s="1"/>
      <c r="C86" s="1"/>
      <c r="F86" s="1"/>
      <c r="L86" s="1"/>
      <c r="M86" s="1"/>
      <c r="N86" s="1"/>
    </row>
    <row r="87" spans="1:14" x14ac:dyDescent="0.25">
      <c r="A87" s="1"/>
      <c r="B87" s="1"/>
      <c r="C87" s="1"/>
      <c r="F87" s="1"/>
      <c r="L87" s="1"/>
      <c r="M87" s="1"/>
      <c r="N87" s="1"/>
    </row>
    <row r="88" spans="1:14" x14ac:dyDescent="0.25">
      <c r="A88" s="1"/>
      <c r="B88" s="1"/>
      <c r="C88" s="1"/>
      <c r="F88" s="1"/>
      <c r="L88" s="1"/>
      <c r="M88" s="1"/>
      <c r="N88" s="1"/>
    </row>
    <row r="89" spans="1:14" x14ac:dyDescent="0.25">
      <c r="A89" s="1"/>
      <c r="B89" s="1"/>
      <c r="C89" s="1"/>
      <c r="F89" s="1"/>
      <c r="L89" s="1"/>
      <c r="M89" s="1"/>
      <c r="N89" s="1"/>
    </row>
    <row r="90" spans="1:14" x14ac:dyDescent="0.25">
      <c r="A90" s="1"/>
      <c r="B90" s="1"/>
      <c r="C90" s="1"/>
      <c r="F90" s="1"/>
      <c r="L90" s="1"/>
      <c r="M90" s="1"/>
      <c r="N90" s="1"/>
    </row>
    <row r="91" spans="1:14" x14ac:dyDescent="0.25">
      <c r="A91" s="1"/>
      <c r="B91" s="1"/>
      <c r="C91" s="1"/>
      <c r="F91" s="1"/>
      <c r="L91" s="1"/>
      <c r="M91" s="1"/>
      <c r="N91" s="1"/>
    </row>
    <row r="92" spans="1:14" x14ac:dyDescent="0.25">
      <c r="A92" s="1"/>
      <c r="B92" s="1"/>
      <c r="C92" s="1"/>
      <c r="F92" s="1"/>
      <c r="L92" s="1"/>
      <c r="M92" s="1"/>
      <c r="N92" s="1"/>
    </row>
    <row r="93" spans="1:14" x14ac:dyDescent="0.25">
      <c r="A93" s="1"/>
      <c r="B93" s="1"/>
      <c r="C93" s="1"/>
      <c r="F93" s="1"/>
      <c r="L93" s="1"/>
      <c r="M93" s="1"/>
      <c r="N93" s="1"/>
    </row>
    <row r="94" spans="1:14" x14ac:dyDescent="0.25">
      <c r="A94" s="1"/>
      <c r="B94" s="1"/>
      <c r="C94" s="1"/>
      <c r="F94" s="1"/>
      <c r="L94" s="1"/>
      <c r="M94" s="1"/>
      <c r="N94" s="1"/>
    </row>
    <row r="95" spans="1:14" x14ac:dyDescent="0.25">
      <c r="A95" s="1"/>
      <c r="B95" s="1"/>
      <c r="C95" s="1"/>
      <c r="F95" s="1"/>
      <c r="L95" s="1"/>
      <c r="M95" s="1"/>
      <c r="N95" s="1"/>
    </row>
    <row r="96" spans="1:14" x14ac:dyDescent="0.25">
      <c r="A96" s="1"/>
      <c r="B96" s="1"/>
      <c r="C96" s="1"/>
      <c r="F96" s="1"/>
      <c r="L96" s="1"/>
      <c r="M96" s="1"/>
      <c r="N96" s="1"/>
    </row>
    <row r="97" spans="1:14" x14ac:dyDescent="0.25">
      <c r="A97" s="1"/>
      <c r="B97" s="1"/>
      <c r="C97" s="1"/>
      <c r="F97" s="1"/>
      <c r="L97" s="1"/>
      <c r="M97" s="1"/>
      <c r="N97" s="1"/>
    </row>
    <row r="98" spans="1:14" x14ac:dyDescent="0.25">
      <c r="A98" s="1"/>
      <c r="B98" s="1"/>
      <c r="C98" s="1"/>
      <c r="F98" s="1"/>
      <c r="L98" s="1"/>
      <c r="M98" s="1"/>
      <c r="N98" s="1"/>
    </row>
    <row r="99" spans="1:14" x14ac:dyDescent="0.25">
      <c r="A99" s="1"/>
      <c r="B99" s="1"/>
      <c r="C99" s="1"/>
      <c r="F99" s="1"/>
      <c r="L99" s="1"/>
      <c r="M99" s="1"/>
      <c r="N99" s="1"/>
    </row>
    <row r="100" spans="1:14" x14ac:dyDescent="0.25">
      <c r="A100" s="1"/>
      <c r="B100" s="1"/>
      <c r="C100" s="1"/>
      <c r="F100" s="1"/>
      <c r="L100" s="1"/>
      <c r="M100" s="1"/>
      <c r="N100" s="1"/>
    </row>
    <row r="101" spans="1:14" x14ac:dyDescent="0.25">
      <c r="A101" s="1"/>
      <c r="B101" s="1"/>
      <c r="C101" s="1"/>
      <c r="F101" s="1"/>
      <c r="L101" s="1"/>
      <c r="M101" s="1"/>
      <c r="N101" s="1"/>
    </row>
    <row r="102" spans="1:14" x14ac:dyDescent="0.25">
      <c r="A102" s="1"/>
      <c r="B102" s="1"/>
      <c r="C102" s="1"/>
      <c r="F102" s="1"/>
      <c r="L102" s="1"/>
      <c r="M102" s="1"/>
      <c r="N102" s="1"/>
    </row>
    <row r="103" spans="1:14" x14ac:dyDescent="0.25">
      <c r="A103" s="1"/>
      <c r="B103" s="1"/>
      <c r="C103" s="1"/>
      <c r="F103" s="1"/>
      <c r="L103" s="1"/>
      <c r="M103" s="1"/>
      <c r="N103" s="1"/>
    </row>
    <row r="104" spans="1:14" x14ac:dyDescent="0.25">
      <c r="A104" s="1"/>
      <c r="B104" s="1"/>
      <c r="C104" s="1"/>
      <c r="F104" s="1"/>
      <c r="L104" s="1"/>
      <c r="M104" s="1"/>
      <c r="N104" s="1"/>
    </row>
    <row r="105" spans="1:14" x14ac:dyDescent="0.25">
      <c r="A105" s="1"/>
      <c r="B105" s="1"/>
      <c r="C105" s="1"/>
      <c r="F105" s="1"/>
      <c r="L105" s="1"/>
      <c r="M105" s="1"/>
      <c r="N105" s="1"/>
    </row>
    <row r="106" spans="1:14" x14ac:dyDescent="0.25">
      <c r="A106" s="1"/>
      <c r="B106" s="1"/>
      <c r="C106" s="1"/>
      <c r="F106" s="1"/>
      <c r="L106" s="1"/>
      <c r="M106" s="1"/>
      <c r="N106" s="1"/>
    </row>
    <row r="107" spans="1:14" x14ac:dyDescent="0.25">
      <c r="A107" s="1"/>
      <c r="B107" s="1"/>
      <c r="C107" s="1"/>
      <c r="F107" s="1"/>
      <c r="L107" s="1"/>
      <c r="M107" s="1"/>
      <c r="N107" s="1"/>
    </row>
    <row r="108" spans="1:14" x14ac:dyDescent="0.25">
      <c r="A108" s="1"/>
      <c r="B108" s="1"/>
      <c r="C108" s="1"/>
      <c r="F108" s="1"/>
      <c r="L108" s="1"/>
      <c r="M108" s="1"/>
      <c r="N108" s="1"/>
    </row>
    <row r="109" spans="1:14" x14ac:dyDescent="0.25">
      <c r="A109" s="1"/>
      <c r="B109" s="1"/>
      <c r="C109" s="1"/>
      <c r="F109" s="1"/>
      <c r="L109" s="1"/>
      <c r="M109" s="1"/>
      <c r="N109" s="1"/>
    </row>
    <row r="110" spans="1:14" x14ac:dyDescent="0.25">
      <c r="A110" s="1"/>
      <c r="B110" s="1"/>
      <c r="C110" s="1"/>
      <c r="F110" s="1"/>
      <c r="L110" s="1"/>
      <c r="M110" s="1"/>
      <c r="N110" s="1"/>
    </row>
    <row r="111" spans="1:14" x14ac:dyDescent="0.25">
      <c r="A111" s="1"/>
      <c r="B111" s="1"/>
      <c r="C111" s="1"/>
      <c r="F111" s="1"/>
      <c r="L111" s="1"/>
      <c r="M111" s="1"/>
      <c r="N111" s="1"/>
    </row>
    <row r="112" spans="1:14" x14ac:dyDescent="0.25">
      <c r="A112" s="1"/>
      <c r="B112" s="1"/>
      <c r="C112" s="1"/>
      <c r="F112" s="1"/>
      <c r="L112" s="1"/>
      <c r="M112" s="1"/>
      <c r="N112" s="1"/>
    </row>
    <row r="113" spans="1:14" x14ac:dyDescent="0.25">
      <c r="A113" s="1"/>
      <c r="B113" s="1"/>
      <c r="C113" s="1"/>
      <c r="F113" s="1"/>
      <c r="L113" s="1"/>
      <c r="M113" s="1"/>
      <c r="N113" s="1"/>
    </row>
    <row r="114" spans="1:14" x14ac:dyDescent="0.25">
      <c r="A114" s="1"/>
      <c r="B114" s="1"/>
      <c r="C114" s="1"/>
      <c r="F114" s="1"/>
      <c r="L114" s="1"/>
      <c r="M114" s="1"/>
      <c r="N114" s="1"/>
    </row>
    <row r="115" spans="1:14" x14ac:dyDescent="0.25">
      <c r="A115" s="1"/>
      <c r="B115" s="1"/>
      <c r="C115" s="1"/>
      <c r="F115" s="1"/>
      <c r="L115" s="1"/>
      <c r="M115" s="1"/>
      <c r="N115" s="1"/>
    </row>
    <row r="116" spans="1:14" x14ac:dyDescent="0.25">
      <c r="A116" s="1"/>
      <c r="B116" s="1"/>
      <c r="C116" s="1"/>
      <c r="F116" s="1"/>
      <c r="L116" s="1"/>
      <c r="M116" s="1"/>
      <c r="N116" s="1"/>
    </row>
    <row r="117" spans="1:14" x14ac:dyDescent="0.25">
      <c r="A117" s="1"/>
      <c r="B117" s="1"/>
      <c r="C117" s="1"/>
      <c r="F117" s="1"/>
      <c r="L117" s="1"/>
      <c r="M117" s="1"/>
      <c r="N117" s="1"/>
    </row>
    <row r="118" spans="1:14" x14ac:dyDescent="0.25">
      <c r="A118" s="1"/>
      <c r="B118" s="1"/>
      <c r="C118" s="1"/>
      <c r="F118" s="1"/>
      <c r="L118" s="1"/>
      <c r="M118" s="1"/>
      <c r="N118" s="1"/>
    </row>
    <row r="119" spans="1:14" x14ac:dyDescent="0.25">
      <c r="A119" s="1"/>
      <c r="B119" s="1"/>
      <c r="C119" s="1"/>
      <c r="F119" s="1"/>
      <c r="L119" s="1"/>
      <c r="M119" s="1"/>
      <c r="N119" s="1"/>
    </row>
    <row r="120" spans="1:14" x14ac:dyDescent="0.25">
      <c r="A120" s="1"/>
      <c r="B120" s="1"/>
      <c r="C120" s="1"/>
      <c r="F120" s="1"/>
      <c r="L120" s="1"/>
      <c r="M120" s="1"/>
      <c r="N120" s="1"/>
    </row>
    <row r="121" spans="1:14" x14ac:dyDescent="0.25">
      <c r="A121" s="1"/>
      <c r="B121" s="1"/>
      <c r="C121" s="1"/>
      <c r="F121" s="1"/>
      <c r="L121" s="1"/>
      <c r="M121" s="1"/>
      <c r="N121" s="1"/>
    </row>
    <row r="122" spans="1:14" x14ac:dyDescent="0.25">
      <c r="A122" s="1"/>
      <c r="B122" s="1"/>
      <c r="C122" s="1"/>
      <c r="F122" s="1"/>
      <c r="L122" s="1"/>
      <c r="M122" s="1"/>
      <c r="N122" s="1"/>
    </row>
    <row r="123" spans="1:14" x14ac:dyDescent="0.25">
      <c r="A123" s="1"/>
      <c r="B123" s="1"/>
      <c r="C123" s="1"/>
      <c r="F123" s="1"/>
      <c r="L123" s="1"/>
      <c r="M123" s="1"/>
      <c r="N123" s="1"/>
    </row>
    <row r="124" spans="1:14" x14ac:dyDescent="0.25">
      <c r="A124" s="1"/>
      <c r="B124" s="1"/>
      <c r="C124" s="1"/>
      <c r="F124" s="1"/>
      <c r="L124" s="1"/>
      <c r="M124" s="1"/>
      <c r="N124" s="1"/>
    </row>
    <row r="125" spans="1:14" x14ac:dyDescent="0.25">
      <c r="A125" s="1"/>
      <c r="B125" s="1"/>
      <c r="C125" s="1"/>
      <c r="F125" s="1"/>
      <c r="L125" s="1"/>
      <c r="M125" s="1"/>
      <c r="N125" s="1"/>
    </row>
    <row r="126" spans="1:14" x14ac:dyDescent="0.25">
      <c r="A126" s="1"/>
      <c r="B126" s="1"/>
      <c r="C126" s="1"/>
      <c r="F126" s="1"/>
      <c r="L126" s="1"/>
      <c r="M126" s="1"/>
      <c r="N126" s="1"/>
    </row>
    <row r="127" spans="1:14" x14ac:dyDescent="0.25">
      <c r="A127" s="1"/>
      <c r="B127" s="1"/>
      <c r="C127" s="1"/>
      <c r="F127" s="1"/>
      <c r="L127" s="1"/>
      <c r="M127" s="1"/>
      <c r="N127" s="1"/>
    </row>
    <row r="128" spans="1:14" x14ac:dyDescent="0.25">
      <c r="A128" s="1"/>
      <c r="B128" s="1"/>
      <c r="C128" s="1"/>
      <c r="F128" s="1"/>
      <c r="L128" s="1"/>
      <c r="M128" s="1"/>
      <c r="N128" s="1"/>
    </row>
    <row r="129" spans="1:14" x14ac:dyDescent="0.25">
      <c r="A129" s="1"/>
      <c r="B129" s="1"/>
      <c r="C129" s="1"/>
      <c r="F129" s="1"/>
      <c r="L129" s="1"/>
      <c r="M129" s="1"/>
      <c r="N129" s="1"/>
    </row>
    <row r="130" spans="1:14" x14ac:dyDescent="0.25">
      <c r="A130" s="1"/>
      <c r="B130" s="1"/>
      <c r="C130" s="1"/>
      <c r="F130" s="1"/>
      <c r="L130" s="1"/>
      <c r="M130" s="1"/>
      <c r="N130" s="1"/>
    </row>
    <row r="131" spans="1:14" x14ac:dyDescent="0.25">
      <c r="A131" s="1"/>
      <c r="B131" s="1"/>
      <c r="C131" s="1"/>
      <c r="F131" s="1"/>
      <c r="L131" s="1"/>
      <c r="M131" s="1"/>
      <c r="N131" s="1"/>
    </row>
    <row r="132" spans="1:14" x14ac:dyDescent="0.25">
      <c r="A132" s="1"/>
      <c r="B132" s="1"/>
      <c r="C132" s="1"/>
      <c r="F132" s="1"/>
      <c r="L132" s="1"/>
      <c r="M132" s="1"/>
      <c r="N132" s="1"/>
    </row>
    <row r="133" spans="1:14" x14ac:dyDescent="0.25">
      <c r="A133" s="1"/>
      <c r="B133" s="1"/>
      <c r="C133" s="1"/>
      <c r="F133" s="1"/>
      <c r="L133" s="1"/>
      <c r="M133" s="1"/>
      <c r="N133" s="1"/>
    </row>
    <row r="134" spans="1:14" x14ac:dyDescent="0.25">
      <c r="A134" s="1"/>
      <c r="B134" s="1"/>
      <c r="C134" s="1"/>
      <c r="F134" s="1"/>
      <c r="L134" s="1"/>
      <c r="M134" s="1"/>
      <c r="N134" s="1"/>
    </row>
    <row r="135" spans="1:14" x14ac:dyDescent="0.25">
      <c r="A135" s="1"/>
      <c r="B135" s="1"/>
      <c r="C135" s="1"/>
      <c r="F135" s="1"/>
      <c r="L135" s="1"/>
      <c r="M135" s="1"/>
      <c r="N135" s="1"/>
    </row>
    <row r="136" spans="1:14" x14ac:dyDescent="0.25">
      <c r="A136" s="1"/>
      <c r="B136" s="1"/>
      <c r="C136" s="1"/>
      <c r="F136" s="1"/>
      <c r="L136" s="1"/>
      <c r="M136" s="1"/>
      <c r="N136" s="1"/>
    </row>
    <row r="137" spans="1:14" x14ac:dyDescent="0.25">
      <c r="A137" s="1"/>
      <c r="B137" s="1"/>
      <c r="C137" s="1"/>
      <c r="F137" s="1"/>
      <c r="L137" s="1"/>
      <c r="M137" s="1"/>
      <c r="N137" s="1"/>
    </row>
    <row r="138" spans="1:14" x14ac:dyDescent="0.25">
      <c r="A138" s="1"/>
      <c r="B138" s="1"/>
      <c r="C138" s="1"/>
      <c r="F138" s="1"/>
      <c r="L138" s="1"/>
      <c r="M138" s="1"/>
      <c r="N138" s="1"/>
    </row>
    <row r="139" spans="1:14" x14ac:dyDescent="0.25">
      <c r="A139" s="1"/>
      <c r="B139" s="1"/>
      <c r="C139" s="1"/>
      <c r="F139" s="1"/>
      <c r="L139" s="1"/>
      <c r="M139" s="1"/>
      <c r="N139" s="1"/>
    </row>
    <row r="140" spans="1:14" x14ac:dyDescent="0.25">
      <c r="A140" s="1"/>
      <c r="B140" s="1"/>
      <c r="C140" s="1"/>
      <c r="F140" s="1"/>
      <c r="L140" s="1"/>
      <c r="M140" s="1"/>
      <c r="N140" s="1"/>
    </row>
    <row r="141" spans="1:14" x14ac:dyDescent="0.25">
      <c r="A141" s="1"/>
      <c r="B141" s="1"/>
      <c r="C141" s="1"/>
      <c r="F141" s="1"/>
      <c r="L141" s="1"/>
      <c r="M141" s="1"/>
      <c r="N141" s="1"/>
    </row>
    <row r="142" spans="1:14" x14ac:dyDescent="0.25">
      <c r="A142" s="1"/>
      <c r="B142" s="1"/>
      <c r="C142" s="1"/>
      <c r="F142" s="1"/>
      <c r="L142" s="1"/>
      <c r="M142" s="1"/>
      <c r="N142" s="1"/>
    </row>
    <row r="143" spans="1:14" x14ac:dyDescent="0.25">
      <c r="A143" s="1"/>
      <c r="B143" s="1"/>
      <c r="C143" s="1"/>
      <c r="F143" s="1"/>
      <c r="L143" s="1"/>
      <c r="M143" s="1"/>
      <c r="N143" s="1"/>
    </row>
    <row r="144" spans="1:14" x14ac:dyDescent="0.25">
      <c r="A144" s="1"/>
      <c r="B144" s="1"/>
      <c r="C144" s="1"/>
      <c r="F144" s="1"/>
      <c r="L144" s="1"/>
      <c r="M144" s="1"/>
      <c r="N144" s="1"/>
    </row>
    <row r="145" spans="1:14" x14ac:dyDescent="0.25">
      <c r="A145" s="1"/>
      <c r="B145" s="1"/>
      <c r="C145" s="1"/>
      <c r="F145" s="1"/>
      <c r="L145" s="1"/>
      <c r="M145" s="1"/>
      <c r="N145" s="1"/>
    </row>
    <row r="146" spans="1:14" x14ac:dyDescent="0.25">
      <c r="A146" s="1"/>
      <c r="B146" s="1"/>
      <c r="C146" s="1"/>
      <c r="F146" s="1"/>
      <c r="L146" s="1"/>
      <c r="M146" s="1"/>
      <c r="N146" s="1"/>
    </row>
    <row r="147" spans="1:14" x14ac:dyDescent="0.25">
      <c r="A147" s="1"/>
      <c r="B147" s="1"/>
      <c r="C147" s="1"/>
      <c r="F147" s="1"/>
      <c r="L147" s="1"/>
      <c r="M147" s="1"/>
      <c r="N147" s="1"/>
    </row>
    <row r="148" spans="1:14" x14ac:dyDescent="0.25">
      <c r="A148" s="1"/>
      <c r="B148" s="1"/>
      <c r="C148" s="1"/>
      <c r="F148" s="1"/>
      <c r="L148" s="1"/>
      <c r="M148" s="1"/>
      <c r="N148" s="1"/>
    </row>
    <row r="149" spans="1:14" x14ac:dyDescent="0.25">
      <c r="A149" s="1"/>
      <c r="B149" s="1"/>
      <c r="C149" s="1"/>
      <c r="F149" s="1"/>
      <c r="L149" s="1"/>
      <c r="M149" s="1"/>
      <c r="N149" s="1"/>
    </row>
    <row r="150" spans="1:14" x14ac:dyDescent="0.25">
      <c r="A150" s="1"/>
      <c r="B150" s="1"/>
      <c r="C150" s="1"/>
      <c r="F150" s="1"/>
      <c r="L150" s="1"/>
      <c r="M150" s="1"/>
      <c r="N150" s="1"/>
    </row>
    <row r="151" spans="1:14" x14ac:dyDescent="0.25">
      <c r="A151" s="1"/>
      <c r="B151" s="1"/>
      <c r="C151" s="1"/>
      <c r="F151" s="1"/>
      <c r="L151" s="1"/>
      <c r="M151" s="1"/>
      <c r="N151" s="1"/>
    </row>
    <row r="152" spans="1:14" x14ac:dyDescent="0.25">
      <c r="A152" s="1"/>
      <c r="B152" s="1"/>
      <c r="C152" s="1"/>
      <c r="F152" s="1"/>
      <c r="L152" s="1"/>
      <c r="M152" s="1"/>
      <c r="N152" s="1"/>
    </row>
    <row r="153" spans="1:14" x14ac:dyDescent="0.25">
      <c r="A153" s="1"/>
      <c r="B153" s="1"/>
      <c r="C153" s="1"/>
      <c r="F153" s="1"/>
      <c r="L153" s="1"/>
      <c r="M153" s="1"/>
      <c r="N153" s="1"/>
    </row>
    <row r="154" spans="1:14" x14ac:dyDescent="0.25">
      <c r="A154" s="1"/>
      <c r="B154" s="1"/>
      <c r="C154" s="1"/>
      <c r="F154" s="1"/>
      <c r="L154" s="1"/>
      <c r="M154" s="1"/>
      <c r="N154" s="1"/>
    </row>
    <row r="155" spans="1:14" x14ac:dyDescent="0.25">
      <c r="A155" s="1"/>
      <c r="B155" s="1"/>
      <c r="C155" s="1"/>
      <c r="F155" s="1"/>
      <c r="L155" s="1"/>
      <c r="M155" s="1"/>
      <c r="N155" s="1"/>
    </row>
    <row r="156" spans="1:14" x14ac:dyDescent="0.25">
      <c r="A156" s="1"/>
      <c r="B156" s="1"/>
      <c r="C156" s="1"/>
      <c r="F156" s="1"/>
      <c r="L156" s="1"/>
      <c r="M156" s="1"/>
      <c r="N156" s="1"/>
    </row>
    <row r="157" spans="1:14" x14ac:dyDescent="0.25">
      <c r="A157" s="1"/>
      <c r="B157" s="1"/>
      <c r="C157" s="1"/>
      <c r="F157" s="1"/>
      <c r="L157" s="1"/>
      <c r="M157" s="1"/>
      <c r="N157" s="1"/>
    </row>
    <row r="158" spans="1:14" x14ac:dyDescent="0.25">
      <c r="A158" s="1"/>
      <c r="B158" s="1"/>
      <c r="C158" s="1"/>
      <c r="F158" s="1"/>
      <c r="L158" s="1"/>
      <c r="M158" s="1"/>
      <c r="N158" s="1"/>
    </row>
    <row r="159" spans="1:14" x14ac:dyDescent="0.25">
      <c r="A159" s="1"/>
      <c r="B159" s="1"/>
      <c r="C159" s="1"/>
      <c r="F159" s="1"/>
      <c r="L159" s="1"/>
      <c r="M159" s="1"/>
      <c r="N159" s="1"/>
    </row>
    <row r="160" spans="1:14" x14ac:dyDescent="0.25">
      <c r="A160" s="1"/>
      <c r="B160" s="1"/>
      <c r="C160" s="1"/>
      <c r="F160" s="1"/>
      <c r="L160" s="1"/>
      <c r="M160" s="1"/>
      <c r="N160" s="1"/>
    </row>
    <row r="161" spans="1:14" x14ac:dyDescent="0.25">
      <c r="A161" s="1"/>
      <c r="B161" s="1"/>
      <c r="C161" s="1"/>
      <c r="F161" s="1"/>
      <c r="L161" s="1"/>
      <c r="M161" s="1"/>
      <c r="N161" s="1"/>
    </row>
    <row r="162" spans="1:14" x14ac:dyDescent="0.25">
      <c r="A162" s="1"/>
      <c r="B162" s="1"/>
      <c r="C162" s="1"/>
      <c r="F162" s="1"/>
      <c r="L162" s="1"/>
      <c r="M162" s="1"/>
      <c r="N162" s="1"/>
    </row>
    <row r="163" spans="1:14" x14ac:dyDescent="0.25">
      <c r="A163" s="1"/>
      <c r="B163" s="1"/>
      <c r="C163" s="1"/>
      <c r="F163" s="1"/>
      <c r="L163" s="1"/>
      <c r="M163" s="1"/>
      <c r="N163" s="1"/>
    </row>
    <row r="164" spans="1:14" x14ac:dyDescent="0.25">
      <c r="A164" s="1"/>
      <c r="B164" s="1"/>
      <c r="C164" s="1"/>
      <c r="F164" s="1"/>
      <c r="L164" s="1"/>
      <c r="M164" s="1"/>
      <c r="N164" s="1"/>
    </row>
    <row r="165" spans="1:14" x14ac:dyDescent="0.25">
      <c r="A165" s="1"/>
      <c r="B165" s="1"/>
      <c r="C165" s="1"/>
      <c r="F165" s="1"/>
      <c r="L165" s="1"/>
      <c r="M165" s="1"/>
      <c r="N165" s="1"/>
    </row>
    <row r="166" spans="1:14" x14ac:dyDescent="0.25">
      <c r="A166" s="1"/>
      <c r="B166" s="1"/>
      <c r="C166" s="1"/>
      <c r="F166" s="1"/>
      <c r="L166" s="1"/>
      <c r="M166" s="1"/>
      <c r="N166" s="1"/>
    </row>
    <row r="167" spans="1:14" x14ac:dyDescent="0.25">
      <c r="A167" s="1"/>
      <c r="B167" s="1"/>
      <c r="C167" s="1"/>
      <c r="F167" s="1"/>
      <c r="L167" s="1"/>
      <c r="M167" s="1"/>
      <c r="N167" s="1"/>
    </row>
    <row r="168" spans="1:14" x14ac:dyDescent="0.25">
      <c r="A168" s="1"/>
      <c r="B168" s="1"/>
      <c r="C168" s="1"/>
      <c r="F168" s="1"/>
      <c r="L168" s="1"/>
      <c r="M168" s="1"/>
      <c r="N168" s="1"/>
    </row>
    <row r="169" spans="1:14" x14ac:dyDescent="0.25">
      <c r="A169" s="1"/>
      <c r="B169" s="1"/>
      <c r="C169" s="1"/>
      <c r="F169" s="1"/>
      <c r="L169" s="1"/>
      <c r="M169" s="1"/>
      <c r="N169" s="1"/>
    </row>
    <row r="170" spans="1:14" x14ac:dyDescent="0.25">
      <c r="A170" s="1"/>
      <c r="B170" s="1"/>
      <c r="C170" s="1"/>
      <c r="F170" s="1"/>
      <c r="L170" s="1"/>
      <c r="M170" s="1"/>
      <c r="N170" s="1"/>
    </row>
    <row r="171" spans="1:14" x14ac:dyDescent="0.25">
      <c r="A171" s="1"/>
      <c r="B171" s="1"/>
      <c r="C171" s="1"/>
      <c r="F171" s="1"/>
      <c r="L171" s="1"/>
      <c r="M171" s="1"/>
      <c r="N171" s="1"/>
    </row>
    <row r="172" spans="1:14" x14ac:dyDescent="0.25">
      <c r="A172" s="1"/>
      <c r="B172" s="1"/>
      <c r="C172" s="1"/>
      <c r="F172" s="1"/>
      <c r="L172" s="1"/>
      <c r="M172" s="1"/>
      <c r="N172" s="1"/>
    </row>
    <row r="173" spans="1:14" x14ac:dyDescent="0.25">
      <c r="A173" s="1"/>
      <c r="B173" s="1"/>
      <c r="C173" s="1"/>
      <c r="F173" s="1"/>
      <c r="L173" s="1"/>
      <c r="M173" s="1"/>
      <c r="N173" s="1"/>
    </row>
    <row r="174" spans="1:14" x14ac:dyDescent="0.25">
      <c r="A174" s="1"/>
      <c r="B174" s="1"/>
      <c r="C174" s="1"/>
      <c r="F174" s="1"/>
      <c r="L174" s="1"/>
      <c r="M174" s="1"/>
      <c r="N174" s="1"/>
    </row>
    <row r="175" spans="1:14" x14ac:dyDescent="0.25">
      <c r="A175" s="1"/>
      <c r="B175" s="1"/>
      <c r="C175" s="1"/>
      <c r="F175" s="1"/>
      <c r="L175" s="1"/>
      <c r="M175" s="1"/>
      <c r="N175" s="1"/>
    </row>
    <row r="176" spans="1:14" x14ac:dyDescent="0.25">
      <c r="A176" s="1"/>
      <c r="B176" s="1"/>
      <c r="C176" s="1"/>
      <c r="F176" s="1"/>
      <c r="L176" s="1"/>
      <c r="M176" s="1"/>
      <c r="N176" s="1"/>
    </row>
    <row r="177" spans="1:14" x14ac:dyDescent="0.25">
      <c r="A177" s="1"/>
      <c r="B177" s="1"/>
      <c r="C177" s="1"/>
      <c r="F177" s="1"/>
      <c r="L177" s="1"/>
      <c r="M177" s="1"/>
      <c r="N177" s="1"/>
    </row>
    <row r="178" spans="1:14" x14ac:dyDescent="0.25">
      <c r="A178" s="1"/>
      <c r="B178" s="1"/>
      <c r="C178" s="1"/>
      <c r="F178" s="1"/>
      <c r="L178" s="1"/>
      <c r="M178" s="1"/>
      <c r="N178" s="1"/>
    </row>
    <row r="179" spans="1:14" x14ac:dyDescent="0.25">
      <c r="A179" s="1"/>
      <c r="B179" s="1"/>
      <c r="C179" s="1"/>
      <c r="F179" s="1"/>
      <c r="L179" s="1"/>
      <c r="M179" s="1"/>
      <c r="N179" s="1"/>
    </row>
    <row r="180" spans="1:14" x14ac:dyDescent="0.25">
      <c r="A180" s="1"/>
      <c r="B180" s="1"/>
      <c r="C180" s="1"/>
      <c r="F180" s="1"/>
      <c r="L180" s="1"/>
      <c r="M180" s="1"/>
      <c r="N180" s="1"/>
    </row>
    <row r="181" spans="1:14" x14ac:dyDescent="0.25">
      <c r="A181" s="1"/>
      <c r="B181" s="1"/>
      <c r="C181" s="1"/>
      <c r="F181" s="1"/>
      <c r="L181" s="1"/>
      <c r="M181" s="1"/>
      <c r="N181" s="1"/>
    </row>
    <row r="182" spans="1:14" x14ac:dyDescent="0.25">
      <c r="A182" s="1"/>
      <c r="B182" s="1"/>
      <c r="C182" s="1"/>
      <c r="F182" s="1"/>
      <c r="L182" s="1"/>
      <c r="M182" s="1"/>
      <c r="N182" s="1"/>
    </row>
    <row r="183" spans="1:14" x14ac:dyDescent="0.25">
      <c r="A183" s="1"/>
      <c r="B183" s="1"/>
      <c r="C183" s="1"/>
      <c r="F183" s="1"/>
      <c r="L183" s="1"/>
      <c r="M183" s="1"/>
      <c r="N183" s="1"/>
    </row>
    <row r="184" spans="1:14" x14ac:dyDescent="0.25">
      <c r="A184" s="1"/>
      <c r="B184" s="1"/>
      <c r="C184" s="1"/>
      <c r="F184" s="1"/>
      <c r="L184" s="1"/>
      <c r="M184" s="1"/>
      <c r="N184" s="1"/>
    </row>
    <row r="185" spans="1:14" x14ac:dyDescent="0.25">
      <c r="A185" s="1"/>
      <c r="B185" s="1"/>
      <c r="C185" s="1"/>
      <c r="F185" s="1"/>
      <c r="L185" s="1"/>
      <c r="M185" s="1"/>
      <c r="N185" s="1"/>
    </row>
    <row r="186" spans="1:14" x14ac:dyDescent="0.25">
      <c r="A186" s="1"/>
      <c r="B186" s="1"/>
      <c r="C186" s="1"/>
      <c r="F186" s="1"/>
      <c r="L186" s="1"/>
      <c r="M186" s="1"/>
      <c r="N186" s="1"/>
    </row>
    <row r="187" spans="1:14" x14ac:dyDescent="0.25">
      <c r="A187" s="1"/>
      <c r="B187" s="1"/>
      <c r="C187" s="1"/>
      <c r="F187" s="1"/>
      <c r="L187" s="1"/>
      <c r="M187" s="1"/>
      <c r="N187" s="1"/>
    </row>
    <row r="188" spans="1:14" x14ac:dyDescent="0.25">
      <c r="A188" s="1"/>
      <c r="B188" s="1"/>
      <c r="C188" s="1"/>
      <c r="F188" s="1"/>
      <c r="L188" s="1"/>
      <c r="M188" s="1"/>
      <c r="N188" s="1"/>
    </row>
    <row r="189" spans="1:14" x14ac:dyDescent="0.25">
      <c r="A189" s="1"/>
      <c r="B189" s="1"/>
      <c r="C189" s="1"/>
      <c r="F189" s="1"/>
      <c r="L189" s="1"/>
      <c r="M189" s="1"/>
      <c r="N189" s="1"/>
    </row>
    <row r="190" spans="1:14" x14ac:dyDescent="0.25">
      <c r="A190" s="1"/>
      <c r="B190" s="1"/>
      <c r="C190" s="1"/>
      <c r="F190" s="1"/>
      <c r="L190" s="1"/>
      <c r="M190" s="1"/>
      <c r="N190" s="1"/>
    </row>
    <row r="191" spans="1:14" x14ac:dyDescent="0.25">
      <c r="A191" s="1"/>
      <c r="B191" s="1"/>
      <c r="C191" s="1"/>
      <c r="F191" s="1"/>
      <c r="L191" s="1"/>
      <c r="M191" s="1"/>
      <c r="N191" s="1"/>
    </row>
    <row r="192" spans="1:14" x14ac:dyDescent="0.25">
      <c r="A192" s="1"/>
      <c r="B192" s="1"/>
      <c r="C192" s="1"/>
      <c r="F192" s="1"/>
      <c r="L192" s="1"/>
      <c r="M192" s="1"/>
      <c r="N192" s="1"/>
    </row>
    <row r="193" spans="1:14" x14ac:dyDescent="0.25">
      <c r="A193" s="1"/>
      <c r="B193" s="1"/>
      <c r="C193" s="1"/>
      <c r="F193" s="1"/>
      <c r="L193" s="1"/>
      <c r="M193" s="1"/>
      <c r="N193" s="1"/>
    </row>
    <row r="194" spans="1:14" x14ac:dyDescent="0.25">
      <c r="A194" s="1"/>
      <c r="B194" s="1"/>
      <c r="C194" s="1"/>
      <c r="F194" s="1"/>
      <c r="L194" s="1"/>
      <c r="M194" s="1"/>
      <c r="N194" s="1"/>
    </row>
    <row r="195" spans="1:14" x14ac:dyDescent="0.25">
      <c r="A195" s="1"/>
      <c r="B195" s="1"/>
      <c r="C195" s="1"/>
      <c r="F195" s="1"/>
      <c r="L195" s="1"/>
      <c r="M195" s="1"/>
      <c r="N195" s="1"/>
    </row>
    <row r="196" spans="1:14" x14ac:dyDescent="0.25">
      <c r="A196" s="1"/>
      <c r="B196" s="1"/>
      <c r="C196" s="1"/>
      <c r="F196" s="1"/>
      <c r="L196" s="1"/>
      <c r="M196" s="1"/>
      <c r="N196" s="1"/>
    </row>
    <row r="197" spans="1:14" x14ac:dyDescent="0.25">
      <c r="A197" s="1"/>
      <c r="B197" s="1"/>
      <c r="C197" s="1"/>
      <c r="F197" s="1"/>
      <c r="L197" s="1"/>
      <c r="M197" s="1"/>
      <c r="N197" s="1"/>
    </row>
    <row r="198" spans="1:14" x14ac:dyDescent="0.25">
      <c r="A198" s="1"/>
      <c r="B198" s="1"/>
      <c r="C198" s="1"/>
      <c r="F198" s="1"/>
      <c r="L198" s="1"/>
      <c r="M198" s="1"/>
      <c r="N198" s="1"/>
    </row>
    <row r="199" spans="1:14" x14ac:dyDescent="0.25">
      <c r="A199" s="1"/>
      <c r="B199" s="1"/>
      <c r="C199" s="1"/>
      <c r="F199" s="1"/>
      <c r="L199" s="1"/>
      <c r="M199" s="1"/>
      <c r="N199" s="1"/>
    </row>
    <row r="200" spans="1:14" x14ac:dyDescent="0.25">
      <c r="A200" s="1"/>
      <c r="B200" s="1"/>
      <c r="C200" s="1"/>
      <c r="F200" s="1"/>
      <c r="L200" s="1"/>
      <c r="M200" s="1"/>
      <c r="N200" s="1"/>
    </row>
    <row r="201" spans="1:14" x14ac:dyDescent="0.25">
      <c r="A201" s="1"/>
      <c r="B201" s="1"/>
      <c r="C201" s="1"/>
      <c r="F201" s="1"/>
      <c r="L201" s="1"/>
      <c r="M201" s="1"/>
      <c r="N201" s="1"/>
    </row>
    <row r="202" spans="1:14" x14ac:dyDescent="0.25">
      <c r="A202" s="1"/>
      <c r="B202" s="1"/>
      <c r="C202" s="1"/>
      <c r="F202" s="1"/>
      <c r="L202" s="1"/>
      <c r="M202" s="1"/>
      <c r="N202" s="1"/>
    </row>
    <row r="203" spans="1:14" x14ac:dyDescent="0.25">
      <c r="A203" s="1"/>
      <c r="B203" s="1"/>
      <c r="C203" s="1"/>
      <c r="F203" s="1"/>
      <c r="L203" s="1"/>
      <c r="M203" s="1"/>
      <c r="N203" s="1"/>
    </row>
    <row r="204" spans="1:14" x14ac:dyDescent="0.25">
      <c r="A204" s="1"/>
      <c r="B204" s="1"/>
      <c r="C204" s="1"/>
      <c r="F204" s="1"/>
      <c r="L204" s="1"/>
      <c r="M204" s="1"/>
      <c r="N204" s="1"/>
    </row>
    <row r="205" spans="1:14" x14ac:dyDescent="0.25">
      <c r="A205" s="1"/>
      <c r="B205" s="1"/>
      <c r="C205" s="1"/>
      <c r="F205" s="1"/>
      <c r="L205" s="1"/>
      <c r="M205" s="1"/>
      <c r="N205" s="1"/>
    </row>
    <row r="206" spans="1:14" x14ac:dyDescent="0.25">
      <c r="A206" s="1"/>
      <c r="B206" s="1"/>
      <c r="C206" s="1"/>
      <c r="F206" s="1"/>
      <c r="L206" s="1"/>
      <c r="M206" s="1"/>
      <c r="N206" s="1"/>
    </row>
    <row r="207" spans="1:14" x14ac:dyDescent="0.25">
      <c r="A207" s="1"/>
      <c r="B207" s="1"/>
      <c r="C207" s="1"/>
      <c r="F207" s="1"/>
      <c r="L207" s="1"/>
      <c r="M207" s="1"/>
      <c r="N207" s="1"/>
    </row>
    <row r="208" spans="1:14" x14ac:dyDescent="0.25">
      <c r="A208" s="1"/>
      <c r="B208" s="1"/>
      <c r="C208" s="1"/>
      <c r="F208" s="1"/>
      <c r="L208" s="1"/>
      <c r="M208" s="1"/>
      <c r="N208" s="1"/>
    </row>
    <row r="209" spans="1:14" x14ac:dyDescent="0.25">
      <c r="A209" s="1"/>
      <c r="B209" s="1"/>
      <c r="C209" s="1"/>
      <c r="F209" s="1"/>
      <c r="L209" s="1"/>
      <c r="M209" s="1"/>
      <c r="N209" s="1"/>
    </row>
    <row r="210" spans="1:14" x14ac:dyDescent="0.25">
      <c r="A210" s="1"/>
      <c r="B210" s="1"/>
      <c r="C210" s="1"/>
      <c r="F210" s="1"/>
      <c r="L210" s="1"/>
      <c r="M210" s="1"/>
      <c r="N210" s="1"/>
    </row>
    <row r="211" spans="1:14" x14ac:dyDescent="0.25">
      <c r="A211" s="1"/>
      <c r="B211" s="1"/>
      <c r="C211" s="1"/>
      <c r="F211" s="1"/>
      <c r="L211" s="1"/>
      <c r="M211" s="1"/>
      <c r="N211" s="1"/>
    </row>
    <row r="212" spans="1:14" x14ac:dyDescent="0.25">
      <c r="A212" s="1"/>
      <c r="B212" s="1"/>
      <c r="C212" s="1"/>
      <c r="F212" s="1"/>
      <c r="L212" s="1"/>
      <c r="M212" s="1"/>
      <c r="N212" s="1"/>
    </row>
    <row r="213" spans="1:14" x14ac:dyDescent="0.25">
      <c r="A213" s="1"/>
      <c r="B213" s="1"/>
      <c r="C213" s="1"/>
      <c r="F213" s="1"/>
      <c r="L213" s="1"/>
      <c r="M213" s="1"/>
      <c r="N213" s="1"/>
    </row>
    <row r="214" spans="1:14" x14ac:dyDescent="0.25">
      <c r="A214" s="1"/>
      <c r="B214" s="1"/>
      <c r="C214" s="1"/>
      <c r="F214" s="1"/>
      <c r="L214" s="1"/>
      <c r="M214" s="1"/>
      <c r="N214" s="1"/>
    </row>
    <row r="215" spans="1:14" x14ac:dyDescent="0.25">
      <c r="A215" s="1"/>
      <c r="B215" s="1"/>
      <c r="C215" s="1"/>
      <c r="F215" s="1"/>
      <c r="L215" s="1"/>
      <c r="M215" s="1"/>
      <c r="N215" s="1"/>
    </row>
    <row r="216" spans="1:14" x14ac:dyDescent="0.25">
      <c r="A216" s="1"/>
      <c r="B216" s="1"/>
      <c r="C216" s="1"/>
      <c r="F216" s="1"/>
      <c r="L216" s="1"/>
      <c r="M216" s="1"/>
      <c r="N216" s="1"/>
    </row>
    <row r="217" spans="1:14" x14ac:dyDescent="0.25">
      <c r="A217" s="1"/>
      <c r="B217" s="1"/>
      <c r="C217" s="1"/>
      <c r="F217" s="1"/>
      <c r="L217" s="1"/>
      <c r="M217" s="1"/>
      <c r="N217" s="1"/>
    </row>
    <row r="218" spans="1:14" x14ac:dyDescent="0.25">
      <c r="A218" s="1"/>
      <c r="B218" s="1"/>
      <c r="C218" s="1"/>
      <c r="F218" s="1"/>
      <c r="L218" s="1"/>
      <c r="M218" s="1"/>
      <c r="N218" s="1"/>
    </row>
    <row r="219" spans="1:14" x14ac:dyDescent="0.25">
      <c r="A219" s="1"/>
      <c r="B219" s="1"/>
      <c r="C219" s="1"/>
      <c r="F219" s="1"/>
      <c r="L219" s="1"/>
      <c r="M219" s="1"/>
      <c r="N219" s="1"/>
    </row>
    <row r="220" spans="1:14" x14ac:dyDescent="0.25">
      <c r="A220" s="1"/>
      <c r="B220" s="1"/>
      <c r="C220" s="1"/>
      <c r="F220" s="1"/>
      <c r="L220" s="1"/>
      <c r="M220" s="1"/>
      <c r="N220" s="1"/>
    </row>
    <row r="221" spans="1:14" x14ac:dyDescent="0.25">
      <c r="A221" s="1"/>
      <c r="B221" s="1"/>
      <c r="C221" s="1"/>
      <c r="F221" s="1"/>
      <c r="L221" s="1"/>
      <c r="M221" s="1"/>
      <c r="N221" s="1"/>
    </row>
    <row r="222" spans="1:14" x14ac:dyDescent="0.25">
      <c r="A222" s="1"/>
      <c r="B222" s="1"/>
      <c r="C222" s="1"/>
      <c r="F222" s="1"/>
      <c r="L222" s="1"/>
      <c r="M222" s="1"/>
      <c r="N222" s="1"/>
    </row>
    <row r="223" spans="1:14" x14ac:dyDescent="0.25">
      <c r="A223" s="1"/>
      <c r="B223" s="1"/>
      <c r="C223" s="1"/>
      <c r="F223" s="1"/>
      <c r="L223" s="1"/>
      <c r="M223" s="1"/>
      <c r="N223" s="1"/>
    </row>
    <row r="224" spans="1:14" x14ac:dyDescent="0.25">
      <c r="A224" s="1"/>
      <c r="B224" s="1"/>
      <c r="C224" s="1"/>
      <c r="F224" s="1"/>
      <c r="L224" s="1"/>
      <c r="M224" s="1"/>
      <c r="N224" s="1"/>
    </row>
    <row r="225" spans="1:14" x14ac:dyDescent="0.25">
      <c r="A225" s="1"/>
      <c r="B225" s="1"/>
      <c r="C225" s="1"/>
      <c r="F225" s="1"/>
      <c r="L225" s="1"/>
      <c r="M225" s="1"/>
      <c r="N225" s="1"/>
    </row>
    <row r="226" spans="1:14" x14ac:dyDescent="0.25">
      <c r="A226" s="1"/>
      <c r="B226" s="1"/>
      <c r="C226" s="1"/>
      <c r="F226" s="1"/>
      <c r="L226" s="1"/>
      <c r="M226" s="1"/>
      <c r="N226" s="1"/>
    </row>
    <row r="227" spans="1:14" x14ac:dyDescent="0.25">
      <c r="A227" s="1"/>
      <c r="B227" s="1"/>
      <c r="C227" s="1"/>
      <c r="F227" s="1"/>
      <c r="L227" s="1"/>
      <c r="M227" s="1"/>
      <c r="N227" s="1"/>
    </row>
    <row r="228" spans="1:14" x14ac:dyDescent="0.25">
      <c r="A228" s="1"/>
      <c r="B228" s="1"/>
      <c r="C228" s="1"/>
      <c r="F228" s="1"/>
      <c r="L228" s="1"/>
      <c r="M228" s="1"/>
      <c r="N228" s="1"/>
    </row>
    <row r="229" spans="1:14" x14ac:dyDescent="0.25">
      <c r="A229" s="1"/>
      <c r="B229" s="1"/>
      <c r="C229" s="1"/>
      <c r="F229" s="1"/>
      <c r="L229" s="1"/>
      <c r="M229" s="1"/>
      <c r="N229" s="1"/>
    </row>
    <row r="230" spans="1:14" x14ac:dyDescent="0.25">
      <c r="A230" s="1"/>
      <c r="B230" s="1"/>
      <c r="C230" s="1"/>
      <c r="F230" s="1"/>
      <c r="L230" s="1"/>
      <c r="M230" s="1"/>
      <c r="N230" s="1"/>
    </row>
    <row r="231" spans="1:14" x14ac:dyDescent="0.25">
      <c r="A231" s="1"/>
      <c r="B231" s="1"/>
      <c r="C231" s="1"/>
      <c r="F231" s="1"/>
      <c r="L231" s="1"/>
      <c r="M231" s="1"/>
      <c r="N231" s="1"/>
    </row>
    <row r="232" spans="1:14" x14ac:dyDescent="0.25">
      <c r="A232" s="1"/>
      <c r="B232" s="1"/>
      <c r="C232" s="1"/>
      <c r="F232" s="1"/>
      <c r="L232" s="1"/>
      <c r="M232" s="1"/>
      <c r="N232" s="1"/>
    </row>
    <row r="233" spans="1:14" x14ac:dyDescent="0.25">
      <c r="A233" s="1"/>
      <c r="B233" s="1"/>
      <c r="C233" s="1"/>
      <c r="F233" s="1"/>
      <c r="L233" s="1"/>
      <c r="M233" s="1"/>
      <c r="N233" s="1"/>
    </row>
    <row r="234" spans="1:14" x14ac:dyDescent="0.25">
      <c r="A234" s="1"/>
      <c r="B234" s="1"/>
      <c r="C234" s="1"/>
      <c r="F234" s="1"/>
      <c r="L234" s="1"/>
      <c r="M234" s="1"/>
      <c r="N234" s="1"/>
    </row>
    <row r="235" spans="1:14" x14ac:dyDescent="0.25">
      <c r="A235" s="1"/>
      <c r="B235" s="1"/>
      <c r="C235" s="1"/>
      <c r="F235" s="1"/>
      <c r="L235" s="1"/>
      <c r="M235" s="1"/>
      <c r="N235" s="1"/>
    </row>
    <row r="236" spans="1:14" x14ac:dyDescent="0.25">
      <c r="A236" s="1"/>
      <c r="B236" s="1"/>
      <c r="C236" s="1"/>
      <c r="F236" s="1"/>
      <c r="L236" s="1"/>
      <c r="M236" s="1"/>
      <c r="N236" s="1"/>
    </row>
    <row r="237" spans="1:14" x14ac:dyDescent="0.25">
      <c r="A237" s="1"/>
      <c r="B237" s="1"/>
      <c r="C237" s="1"/>
      <c r="F237" s="1"/>
      <c r="L237" s="1"/>
      <c r="M237" s="1"/>
      <c r="N237" s="1"/>
    </row>
    <row r="238" spans="1:14" x14ac:dyDescent="0.25">
      <c r="A238" s="1"/>
      <c r="B238" s="1"/>
      <c r="C238" s="1"/>
      <c r="F238" s="1"/>
      <c r="L238" s="1"/>
      <c r="M238" s="1"/>
      <c r="N238" s="1"/>
    </row>
    <row r="239" spans="1:14" x14ac:dyDescent="0.25">
      <c r="A239" s="1"/>
      <c r="B239" s="1"/>
      <c r="C239" s="1"/>
      <c r="F239" s="1"/>
      <c r="L239" s="1"/>
      <c r="M239" s="1"/>
      <c r="N239" s="1"/>
    </row>
    <row r="240" spans="1:14" x14ac:dyDescent="0.25">
      <c r="A240" s="1"/>
      <c r="B240" s="1"/>
      <c r="C240" s="1"/>
      <c r="F240" s="1"/>
      <c r="L240" s="1"/>
      <c r="M240" s="1"/>
      <c r="N240" s="1"/>
    </row>
    <row r="241" spans="1:14" x14ac:dyDescent="0.25">
      <c r="A241" s="1"/>
      <c r="B241" s="1"/>
      <c r="C241" s="1"/>
      <c r="F241" s="1"/>
      <c r="L241" s="1"/>
      <c r="M241" s="1"/>
      <c r="N241" s="1"/>
    </row>
    <row r="242" spans="1:14" x14ac:dyDescent="0.25">
      <c r="A242" s="1"/>
      <c r="B242" s="1"/>
      <c r="C242" s="1"/>
      <c r="F242" s="1"/>
      <c r="L242" s="1"/>
      <c r="M242" s="1"/>
      <c r="N242" s="1"/>
    </row>
    <row r="243" spans="1:14" x14ac:dyDescent="0.25">
      <c r="A243" s="1"/>
      <c r="B243" s="1"/>
      <c r="C243" s="1"/>
      <c r="F243" s="1"/>
      <c r="L243" s="1"/>
      <c r="M243" s="1"/>
      <c r="N243" s="1"/>
    </row>
    <row r="244" spans="1:14" x14ac:dyDescent="0.25">
      <c r="A244" s="1"/>
      <c r="B244" s="1"/>
      <c r="C244" s="1"/>
      <c r="F244" s="1"/>
      <c r="L244" s="1"/>
      <c r="M244" s="1"/>
      <c r="N244" s="1"/>
    </row>
    <row r="245" spans="1:14" x14ac:dyDescent="0.25">
      <c r="A245" s="1"/>
      <c r="B245" s="1"/>
      <c r="C245" s="1"/>
      <c r="F245" s="1"/>
      <c r="L245" s="1"/>
      <c r="M245" s="1"/>
      <c r="N245" s="1"/>
    </row>
    <row r="246" spans="1:14" x14ac:dyDescent="0.25">
      <c r="A246" s="1"/>
      <c r="B246" s="1"/>
      <c r="C246" s="1"/>
      <c r="F246" s="1"/>
      <c r="L246" s="1"/>
      <c r="M246" s="1"/>
      <c r="N246" s="1"/>
    </row>
    <row r="247" spans="1:14" x14ac:dyDescent="0.25">
      <c r="A247" s="1"/>
      <c r="B247" s="1"/>
      <c r="C247" s="1"/>
      <c r="F247" s="1"/>
      <c r="L247" s="1"/>
      <c r="M247" s="1"/>
      <c r="N247" s="1"/>
    </row>
    <row r="248" spans="1:14" x14ac:dyDescent="0.25">
      <c r="A248" s="1"/>
      <c r="B248" s="1"/>
      <c r="C248" s="1"/>
      <c r="F248" s="1"/>
      <c r="L248" s="1"/>
      <c r="M248" s="1"/>
      <c r="N248" s="1"/>
    </row>
    <row r="249" spans="1:14" x14ac:dyDescent="0.25">
      <c r="A249" s="1"/>
      <c r="B249" s="1"/>
      <c r="C249" s="1"/>
      <c r="F249" s="1"/>
      <c r="L249" s="1"/>
      <c r="M249" s="1"/>
      <c r="N249" s="1"/>
    </row>
    <row r="250" spans="1:14" x14ac:dyDescent="0.25">
      <c r="A250" s="1"/>
      <c r="B250" s="1"/>
      <c r="C250" s="1"/>
      <c r="F250" s="1"/>
      <c r="L250" s="1"/>
      <c r="M250" s="1"/>
      <c r="N250" s="1"/>
    </row>
    <row r="251" spans="1:14" x14ac:dyDescent="0.25">
      <c r="A251" s="1"/>
      <c r="B251" s="1"/>
      <c r="C251" s="1"/>
      <c r="F251" s="1"/>
      <c r="L251" s="1"/>
      <c r="M251" s="1"/>
      <c r="N251" s="1"/>
    </row>
    <row r="252" spans="1:14" x14ac:dyDescent="0.25">
      <c r="A252" s="1"/>
      <c r="B252" s="1"/>
      <c r="C252" s="1"/>
      <c r="F252" s="1"/>
      <c r="L252" s="1"/>
      <c r="M252" s="1"/>
      <c r="N252" s="1"/>
    </row>
    <row r="253" spans="1:14" x14ac:dyDescent="0.25">
      <c r="A253" s="1"/>
      <c r="B253" s="1"/>
      <c r="C253" s="1"/>
      <c r="F253" s="1"/>
      <c r="L253" s="1"/>
      <c r="M253" s="1"/>
      <c r="N253" s="1"/>
    </row>
    <row r="254" spans="1:14" x14ac:dyDescent="0.25">
      <c r="A254" s="1"/>
      <c r="B254" s="1"/>
      <c r="C254" s="1"/>
      <c r="F254" s="1"/>
      <c r="L254" s="1"/>
      <c r="M254" s="1"/>
      <c r="N254" s="1"/>
    </row>
    <row r="255" spans="1:14" x14ac:dyDescent="0.25">
      <c r="A255" s="1"/>
      <c r="B255" s="1"/>
      <c r="C255" s="1"/>
      <c r="F255" s="1"/>
      <c r="L255" s="1"/>
      <c r="M255" s="1"/>
      <c r="N255" s="1"/>
    </row>
    <row r="256" spans="1:14" x14ac:dyDescent="0.25">
      <c r="A256" s="1"/>
      <c r="B256" s="1"/>
      <c r="C256" s="1"/>
      <c r="F256" s="1"/>
      <c r="L256" s="1"/>
      <c r="M256" s="1"/>
      <c r="N256" s="1"/>
    </row>
    <row r="257" spans="1:14" x14ac:dyDescent="0.25">
      <c r="A257" s="1"/>
      <c r="B257" s="1"/>
      <c r="C257" s="1"/>
      <c r="F257" s="1"/>
      <c r="L257" s="1"/>
      <c r="M257" s="1"/>
      <c r="N257" s="1"/>
    </row>
    <row r="258" spans="1:14" x14ac:dyDescent="0.25">
      <c r="A258" s="1"/>
      <c r="B258" s="1"/>
      <c r="C258" s="1"/>
      <c r="F258" s="1"/>
      <c r="L258" s="1"/>
      <c r="M258" s="1"/>
      <c r="N258" s="1"/>
    </row>
    <row r="259" spans="1:14" x14ac:dyDescent="0.25">
      <c r="A259" s="1"/>
      <c r="B259" s="1"/>
      <c r="C259" s="1"/>
      <c r="F259" s="1"/>
      <c r="L259" s="1"/>
      <c r="M259" s="1"/>
      <c r="N259" s="1"/>
    </row>
    <row r="260" spans="1:14" x14ac:dyDescent="0.25">
      <c r="A260" s="1"/>
      <c r="B260" s="1"/>
      <c r="C260" s="1"/>
      <c r="F260" s="1"/>
      <c r="L260" s="1"/>
      <c r="M260" s="1"/>
      <c r="N260" s="1"/>
    </row>
    <row r="261" spans="1:14" x14ac:dyDescent="0.25">
      <c r="A261" s="1"/>
      <c r="B261" s="1"/>
      <c r="C261" s="1"/>
      <c r="F261" s="1"/>
      <c r="L261" s="1"/>
      <c r="M261" s="1"/>
      <c r="N261" s="1"/>
    </row>
    <row r="262" spans="1:14" x14ac:dyDescent="0.25">
      <c r="A262" s="1"/>
      <c r="B262" s="1"/>
      <c r="C262" s="1"/>
      <c r="F262" s="1"/>
      <c r="L262" s="1"/>
      <c r="M262" s="1"/>
      <c r="N262" s="1"/>
    </row>
    <row r="263" spans="1:14" x14ac:dyDescent="0.25">
      <c r="A263" s="1"/>
      <c r="B263" s="1"/>
      <c r="C263" s="1"/>
      <c r="F263" s="1"/>
      <c r="L263" s="1"/>
      <c r="M263" s="1"/>
      <c r="N263" s="1"/>
    </row>
    <row r="264" spans="1:14" x14ac:dyDescent="0.25">
      <c r="A264" s="1"/>
      <c r="B264" s="1"/>
      <c r="C264" s="1"/>
      <c r="F264" s="1"/>
      <c r="L264" s="1"/>
      <c r="M264" s="1"/>
      <c r="N264" s="1"/>
    </row>
    <row r="265" spans="1:14" x14ac:dyDescent="0.25">
      <c r="A265" s="1"/>
      <c r="B265" s="1"/>
      <c r="C265" s="1"/>
      <c r="F265" s="1"/>
      <c r="L265" s="1"/>
      <c r="M265" s="1"/>
      <c r="N265" s="1"/>
    </row>
    <row r="266" spans="1:14" x14ac:dyDescent="0.25">
      <c r="A266" s="1"/>
      <c r="B266" s="1"/>
      <c r="C266" s="1"/>
      <c r="F266" s="1"/>
      <c r="L266" s="1"/>
      <c r="M266" s="1"/>
      <c r="N266" s="1"/>
    </row>
    <row r="267" spans="1:14" x14ac:dyDescent="0.25">
      <c r="A267" s="1"/>
      <c r="B267" s="1"/>
      <c r="C267" s="1"/>
      <c r="F267" s="1"/>
      <c r="L267" s="1"/>
      <c r="M267" s="1"/>
      <c r="N267" s="1"/>
    </row>
    <row r="268" spans="1:14" x14ac:dyDescent="0.25">
      <c r="A268" s="1"/>
      <c r="B268" s="1"/>
      <c r="C268" s="1"/>
      <c r="F268" s="1"/>
      <c r="L268" s="1"/>
      <c r="M268" s="1"/>
      <c r="N268" s="1"/>
    </row>
    <row r="269" spans="1:14" x14ac:dyDescent="0.25">
      <c r="A269" s="1"/>
      <c r="B269" s="1"/>
      <c r="C269" s="1"/>
      <c r="F269" s="1"/>
      <c r="L269" s="1"/>
      <c r="M269" s="1"/>
      <c r="N269" s="1"/>
    </row>
    <row r="270" spans="1:14" x14ac:dyDescent="0.25">
      <c r="A270" s="1"/>
      <c r="B270" s="1"/>
      <c r="C270" s="1"/>
      <c r="F270" s="1"/>
      <c r="L270" s="1"/>
      <c r="M270" s="1"/>
      <c r="N270" s="1"/>
    </row>
    <row r="271" spans="1:14" x14ac:dyDescent="0.25">
      <c r="A271" s="1"/>
      <c r="B271" s="1"/>
      <c r="C271" s="1"/>
      <c r="F271" s="1"/>
      <c r="L271" s="1"/>
      <c r="M271" s="1"/>
      <c r="N271" s="1"/>
    </row>
    <row r="272" spans="1:14" x14ac:dyDescent="0.25">
      <c r="A272" s="1"/>
      <c r="B272" s="1"/>
      <c r="C272" s="1"/>
      <c r="F272" s="1"/>
      <c r="L272" s="1"/>
      <c r="M272" s="1"/>
      <c r="N272" s="1"/>
    </row>
    <row r="273" spans="1:14" x14ac:dyDescent="0.25">
      <c r="A273" s="1"/>
      <c r="B273" s="1"/>
      <c r="C273" s="1"/>
      <c r="F273" s="1"/>
      <c r="L273" s="1"/>
      <c r="M273" s="1"/>
      <c r="N273" s="1"/>
    </row>
    <row r="274" spans="1:14" x14ac:dyDescent="0.25">
      <c r="A274" s="1"/>
      <c r="B274" s="1"/>
      <c r="C274" s="1"/>
      <c r="F274" s="1"/>
      <c r="L274" s="1"/>
      <c r="M274" s="1"/>
      <c r="N274" s="1"/>
    </row>
    <row r="275" spans="1:14" x14ac:dyDescent="0.25">
      <c r="A275" s="1"/>
      <c r="B275" s="1"/>
      <c r="C275" s="1"/>
      <c r="F275" s="1"/>
      <c r="L275" s="1"/>
      <c r="M275" s="1"/>
      <c r="N275" s="1"/>
    </row>
    <row r="276" spans="1:14" x14ac:dyDescent="0.25">
      <c r="A276" s="1"/>
      <c r="B276" s="1"/>
      <c r="C276" s="1"/>
      <c r="F276" s="1"/>
      <c r="L276" s="1"/>
      <c r="M276" s="1"/>
      <c r="N276" s="1"/>
    </row>
    <row r="277" spans="1:14" x14ac:dyDescent="0.25">
      <c r="A277" s="1"/>
      <c r="B277" s="1"/>
      <c r="C277" s="1"/>
      <c r="F277" s="1"/>
      <c r="L277" s="1"/>
      <c r="M277" s="1"/>
      <c r="N277" s="1"/>
    </row>
    <row r="278" spans="1:14" x14ac:dyDescent="0.25">
      <c r="A278" s="1"/>
      <c r="B278" s="1"/>
      <c r="C278" s="1"/>
      <c r="F278" s="1"/>
      <c r="L278" s="1"/>
      <c r="M278" s="1"/>
      <c r="N278" s="1"/>
    </row>
    <row r="279" spans="1:14" x14ac:dyDescent="0.25">
      <c r="A279" s="1"/>
      <c r="B279" s="1"/>
      <c r="C279" s="1"/>
      <c r="F279" s="1"/>
      <c r="L279" s="1"/>
      <c r="M279" s="1"/>
      <c r="N279" s="1"/>
    </row>
    <row r="280" spans="1:14" x14ac:dyDescent="0.25">
      <c r="A280" s="1"/>
      <c r="B280" s="1"/>
      <c r="C280" s="1"/>
      <c r="F280" s="1"/>
      <c r="L280" s="1"/>
      <c r="M280" s="1"/>
      <c r="N280" s="1"/>
    </row>
    <row r="281" spans="1:14" x14ac:dyDescent="0.25">
      <c r="A281" s="1"/>
      <c r="B281" s="1"/>
      <c r="C281" s="1"/>
      <c r="F281" s="1"/>
      <c r="L281" s="1"/>
      <c r="M281" s="1"/>
      <c r="N281" s="1"/>
    </row>
    <row r="282" spans="1:14" x14ac:dyDescent="0.25">
      <c r="A282" s="1"/>
      <c r="B282" s="1"/>
      <c r="C282" s="1"/>
      <c r="F282" s="1"/>
      <c r="L282" s="1"/>
      <c r="M282" s="1"/>
      <c r="N282" s="1"/>
    </row>
    <row r="283" spans="1:14" x14ac:dyDescent="0.25">
      <c r="A283" s="1"/>
      <c r="B283" s="1"/>
      <c r="C283" s="1"/>
      <c r="F283" s="1"/>
      <c r="L283" s="1"/>
      <c r="M283" s="1"/>
      <c r="N283" s="1"/>
    </row>
    <row r="284" spans="1:14" x14ac:dyDescent="0.25">
      <c r="A284" s="1"/>
      <c r="B284" s="1"/>
      <c r="C284" s="1"/>
      <c r="F284" s="1"/>
      <c r="L284" s="1"/>
      <c r="M284" s="1"/>
      <c r="N284" s="1"/>
    </row>
    <row r="285" spans="1:14" x14ac:dyDescent="0.25">
      <c r="A285" s="1"/>
      <c r="B285" s="1"/>
      <c r="C285" s="1"/>
      <c r="F285" s="1"/>
      <c r="L285" s="1"/>
      <c r="M285" s="1"/>
      <c r="N285" s="1"/>
    </row>
    <row r="286" spans="1:14" x14ac:dyDescent="0.25">
      <c r="A286" s="1"/>
      <c r="B286" s="1"/>
      <c r="C286" s="1"/>
      <c r="F286" s="1"/>
      <c r="L286" s="1"/>
      <c r="M286" s="1"/>
      <c r="N286" s="1"/>
    </row>
    <row r="287" spans="1:14" x14ac:dyDescent="0.25">
      <c r="A287" s="1"/>
      <c r="B287" s="1"/>
      <c r="C287" s="1"/>
      <c r="F287" s="1"/>
      <c r="L287" s="1"/>
      <c r="M287" s="1"/>
      <c r="N287" s="1"/>
    </row>
    <row r="288" spans="1:14" x14ac:dyDescent="0.25">
      <c r="A288" s="1"/>
      <c r="B288" s="1"/>
      <c r="C288" s="1"/>
      <c r="F288" s="1"/>
      <c r="L288" s="1"/>
      <c r="M288" s="1"/>
      <c r="N288" s="1"/>
    </row>
    <row r="289" spans="1:14" x14ac:dyDescent="0.25">
      <c r="A289" s="1"/>
      <c r="B289" s="1"/>
      <c r="C289" s="1"/>
      <c r="F289" s="1"/>
      <c r="L289" s="1"/>
      <c r="M289" s="1"/>
      <c r="N289" s="1"/>
    </row>
    <row r="290" spans="1:14" x14ac:dyDescent="0.25">
      <c r="A290" s="1"/>
      <c r="B290" s="1"/>
      <c r="C290" s="1"/>
      <c r="F290" s="1"/>
      <c r="L290" s="1"/>
      <c r="M290" s="1"/>
      <c r="N290" s="1"/>
    </row>
    <row r="291" spans="1:14" x14ac:dyDescent="0.25">
      <c r="A291" s="1"/>
      <c r="B291" s="1"/>
      <c r="C291" s="1"/>
      <c r="F291" s="1"/>
      <c r="L291" s="1"/>
      <c r="M291" s="1"/>
      <c r="N291" s="1"/>
    </row>
    <row r="292" spans="1:14" x14ac:dyDescent="0.25">
      <c r="A292" s="1"/>
      <c r="B292" s="1"/>
      <c r="C292" s="1"/>
      <c r="F292" s="1"/>
      <c r="L292" s="1"/>
      <c r="M292" s="1"/>
      <c r="N292" s="1"/>
    </row>
    <row r="293" spans="1:14" x14ac:dyDescent="0.25">
      <c r="A293" s="1"/>
      <c r="B293" s="1"/>
      <c r="C293" s="1"/>
      <c r="F293" s="1"/>
      <c r="L293" s="1"/>
      <c r="M293" s="1"/>
      <c r="N293" s="1"/>
    </row>
    <row r="294" spans="1:14" x14ac:dyDescent="0.25">
      <c r="A294" s="1"/>
      <c r="B294" s="1"/>
      <c r="C294" s="1"/>
      <c r="F294" s="1"/>
      <c r="L294" s="1"/>
      <c r="M294" s="1"/>
      <c r="N294" s="1"/>
    </row>
    <row r="295" spans="1:14" x14ac:dyDescent="0.25">
      <c r="A295" s="1"/>
      <c r="B295" s="1"/>
      <c r="C295" s="1"/>
      <c r="F295" s="1"/>
      <c r="L295" s="1"/>
      <c r="M295" s="1"/>
      <c r="N295" s="1"/>
    </row>
    <row r="296" spans="1:14" x14ac:dyDescent="0.25">
      <c r="A296" s="1"/>
      <c r="B296" s="1"/>
      <c r="C296" s="1"/>
      <c r="F296" s="1"/>
      <c r="L296" s="1"/>
      <c r="M296" s="1"/>
      <c r="N296" s="1"/>
    </row>
    <row r="297" spans="1:14" x14ac:dyDescent="0.25">
      <c r="A297" s="1"/>
      <c r="B297" s="1"/>
      <c r="C297" s="1"/>
      <c r="F297" s="1"/>
      <c r="L297" s="1"/>
      <c r="M297" s="1"/>
      <c r="N297" s="1"/>
    </row>
    <row r="298" spans="1:14" x14ac:dyDescent="0.25">
      <c r="A298" s="1"/>
      <c r="B298" s="1"/>
      <c r="C298" s="1"/>
      <c r="F298" s="1"/>
      <c r="L298" s="1"/>
      <c r="M298" s="1"/>
      <c r="N298" s="1"/>
    </row>
    <row r="299" spans="1:14" x14ac:dyDescent="0.25">
      <c r="A299" s="1"/>
      <c r="B299" s="1"/>
      <c r="C299" s="1"/>
      <c r="F299" s="1"/>
      <c r="L299" s="1"/>
      <c r="M299" s="1"/>
      <c r="N299" s="1"/>
    </row>
    <row r="300" spans="1:14" x14ac:dyDescent="0.25">
      <c r="A300" s="1"/>
      <c r="B300" s="1"/>
      <c r="C300" s="1"/>
      <c r="F300" s="1"/>
      <c r="L300" s="1"/>
      <c r="M300" s="1"/>
      <c r="N300" s="1"/>
    </row>
    <row r="301" spans="1:14" x14ac:dyDescent="0.25">
      <c r="A301" s="1"/>
      <c r="B301" s="1"/>
      <c r="C301" s="1"/>
      <c r="F301" s="1"/>
      <c r="L301" s="1"/>
      <c r="M301" s="1"/>
      <c r="N301" s="1"/>
    </row>
    <row r="302" spans="1:14" x14ac:dyDescent="0.25">
      <c r="A302" s="1"/>
      <c r="B302" s="1"/>
      <c r="C302" s="1"/>
      <c r="F302" s="1"/>
      <c r="L302" s="1"/>
      <c r="M302" s="1"/>
      <c r="N302" s="1"/>
    </row>
    <row r="303" spans="1:14" x14ac:dyDescent="0.25">
      <c r="A303" s="1"/>
      <c r="B303" s="1"/>
      <c r="C303" s="1"/>
      <c r="F303" s="1"/>
      <c r="L303" s="1"/>
      <c r="M303" s="1"/>
      <c r="N303" s="1"/>
    </row>
    <row r="304" spans="1:14" x14ac:dyDescent="0.25">
      <c r="A304" s="1"/>
      <c r="B304" s="1"/>
      <c r="C304" s="1"/>
      <c r="F304" s="1"/>
      <c r="L304" s="1"/>
      <c r="M304" s="1"/>
      <c r="N304" s="1"/>
    </row>
    <row r="305" spans="1:14" x14ac:dyDescent="0.25">
      <c r="A305" s="1"/>
      <c r="B305" s="1"/>
      <c r="C305" s="1"/>
      <c r="F305" s="1"/>
      <c r="L305" s="1"/>
      <c r="M305" s="1"/>
      <c r="N305" s="1"/>
    </row>
    <row r="306" spans="1:14" x14ac:dyDescent="0.25">
      <c r="A306" s="1"/>
      <c r="B306" s="1"/>
      <c r="C306" s="1"/>
      <c r="F306" s="1"/>
      <c r="L306" s="1"/>
      <c r="M306" s="1"/>
      <c r="N306" s="1"/>
    </row>
    <row r="307" spans="1:14" x14ac:dyDescent="0.25">
      <c r="A307" s="1"/>
      <c r="B307" s="1"/>
      <c r="C307" s="1"/>
      <c r="F307" s="1"/>
      <c r="L307" s="1"/>
      <c r="M307" s="1"/>
      <c r="N307" s="1"/>
    </row>
    <row r="308" spans="1:14" x14ac:dyDescent="0.25">
      <c r="A308" s="1"/>
      <c r="B308" s="1"/>
      <c r="C308" s="1"/>
      <c r="F308" s="1"/>
      <c r="L308" s="1"/>
      <c r="M308" s="1"/>
      <c r="N308" s="1"/>
    </row>
    <row r="309" spans="1:14" x14ac:dyDescent="0.25">
      <c r="A309" s="1"/>
      <c r="B309" s="1"/>
      <c r="C309" s="1"/>
      <c r="F309" s="1"/>
      <c r="L309" s="1"/>
      <c r="M309" s="1"/>
      <c r="N309" s="1"/>
    </row>
    <row r="310" spans="1:14" x14ac:dyDescent="0.25">
      <c r="A310" s="1"/>
      <c r="B310" s="1"/>
      <c r="C310" s="1"/>
      <c r="F310" s="1"/>
      <c r="L310" s="1"/>
      <c r="M310" s="1"/>
      <c r="N310" s="1"/>
    </row>
    <row r="311" spans="1:14" x14ac:dyDescent="0.25">
      <c r="A311" s="1"/>
      <c r="B311" s="1"/>
      <c r="C311" s="1"/>
      <c r="F311" s="1"/>
      <c r="L311" s="1"/>
      <c r="M311" s="1"/>
      <c r="N311" s="1"/>
    </row>
    <row r="312" spans="1:14" x14ac:dyDescent="0.25">
      <c r="A312" s="1"/>
      <c r="B312" s="1"/>
      <c r="C312" s="1"/>
      <c r="F312" s="1"/>
      <c r="L312" s="1"/>
      <c r="M312" s="1"/>
      <c r="N312" s="1"/>
    </row>
    <row r="313" spans="1:14" x14ac:dyDescent="0.25">
      <c r="A313" s="1"/>
      <c r="B313" s="1"/>
      <c r="C313" s="1"/>
      <c r="F313" s="1"/>
      <c r="L313" s="1"/>
      <c r="M313" s="1"/>
      <c r="N313" s="1"/>
    </row>
    <row r="314" spans="1:14" x14ac:dyDescent="0.25">
      <c r="A314" s="1"/>
      <c r="B314" s="1"/>
      <c r="C314" s="1"/>
      <c r="F314" s="1"/>
      <c r="L314" s="1"/>
      <c r="M314" s="1"/>
      <c r="N314" s="1"/>
    </row>
    <row r="315" spans="1:14" x14ac:dyDescent="0.25">
      <c r="A315" s="1"/>
      <c r="B315" s="1"/>
      <c r="C315" s="1"/>
      <c r="F315" s="1"/>
      <c r="L315" s="1"/>
      <c r="M315" s="1"/>
      <c r="N315" s="1"/>
    </row>
    <row r="316" spans="1:14" x14ac:dyDescent="0.25">
      <c r="A316" s="1"/>
      <c r="B316" s="1"/>
      <c r="C316" s="1"/>
      <c r="F316" s="1"/>
      <c r="L316" s="1"/>
      <c r="M316" s="1"/>
      <c r="N316" s="1"/>
    </row>
    <row r="317" spans="1:14" x14ac:dyDescent="0.25">
      <c r="A317" s="1"/>
      <c r="B317" s="1"/>
      <c r="C317" s="1"/>
      <c r="F317" s="1"/>
      <c r="L317" s="1"/>
      <c r="M317" s="1"/>
      <c r="N317" s="1"/>
    </row>
    <row r="318" spans="1:14" x14ac:dyDescent="0.25">
      <c r="A318" s="1"/>
      <c r="B318" s="1"/>
      <c r="C318" s="1"/>
      <c r="F318" s="1"/>
      <c r="L318" s="1"/>
      <c r="M318" s="1"/>
      <c r="N318" s="1"/>
    </row>
    <row r="319" spans="1:14" x14ac:dyDescent="0.25">
      <c r="A319" s="1"/>
      <c r="B319" s="1"/>
      <c r="C319" s="1"/>
      <c r="F319" s="1"/>
      <c r="L319" s="1"/>
      <c r="M319" s="1"/>
      <c r="N319" s="1"/>
    </row>
    <row r="320" spans="1:14" x14ac:dyDescent="0.25">
      <c r="A320" s="1"/>
      <c r="B320" s="1"/>
      <c r="C320" s="1"/>
      <c r="F320" s="1"/>
      <c r="L320" s="1"/>
      <c r="M320" s="1"/>
      <c r="N320" s="1"/>
    </row>
    <row r="321" spans="1:14" x14ac:dyDescent="0.25">
      <c r="A321" s="1"/>
      <c r="B321" s="1"/>
      <c r="C321" s="1"/>
      <c r="F321" s="1"/>
      <c r="L321" s="1"/>
      <c r="M321" s="1"/>
      <c r="N321" s="1"/>
    </row>
    <row r="322" spans="1:14" x14ac:dyDescent="0.25">
      <c r="A322" s="1"/>
      <c r="B322" s="1"/>
      <c r="C322" s="1"/>
      <c r="F322" s="1"/>
      <c r="L322" s="1"/>
      <c r="M322" s="1"/>
      <c r="N322" s="1"/>
    </row>
    <row r="323" spans="1:14" x14ac:dyDescent="0.25">
      <c r="A323" s="1"/>
      <c r="B323" s="1"/>
      <c r="C323" s="1"/>
      <c r="F323" s="1"/>
      <c r="L323" s="1"/>
      <c r="M323" s="1"/>
      <c r="N323" s="1"/>
    </row>
    <row r="324" spans="1:14" x14ac:dyDescent="0.25">
      <c r="A324" s="1"/>
      <c r="B324" s="1"/>
      <c r="C324" s="1"/>
      <c r="F324" s="1"/>
      <c r="L324" s="1"/>
      <c r="M324" s="1"/>
      <c r="N324" s="1"/>
    </row>
    <row r="325" spans="1:14" x14ac:dyDescent="0.25">
      <c r="A325" s="1"/>
      <c r="B325" s="1"/>
      <c r="C325" s="1"/>
      <c r="F325" s="1"/>
      <c r="L325" s="1"/>
      <c r="M325" s="1"/>
      <c r="N325" s="1"/>
    </row>
    <row r="326" spans="1:14" x14ac:dyDescent="0.25">
      <c r="A326" s="1"/>
      <c r="B326" s="1"/>
      <c r="C326" s="1"/>
      <c r="F326" s="1"/>
      <c r="L326" s="1"/>
      <c r="M326" s="1"/>
      <c r="N326" s="1"/>
    </row>
    <row r="327" spans="1:14" x14ac:dyDescent="0.25">
      <c r="A327" s="1"/>
      <c r="B327" s="1"/>
      <c r="C327" s="1"/>
      <c r="F327" s="1"/>
      <c r="L327" s="1"/>
      <c r="M327" s="1"/>
      <c r="N327" s="1"/>
    </row>
    <row r="328" spans="1:14" x14ac:dyDescent="0.25">
      <c r="A328" s="1"/>
      <c r="B328" s="1"/>
      <c r="C328" s="1"/>
      <c r="F328" s="1"/>
      <c r="L328" s="1"/>
      <c r="M328" s="1"/>
      <c r="N328" s="1"/>
    </row>
    <row r="329" spans="1:14" x14ac:dyDescent="0.25">
      <c r="A329" s="1"/>
      <c r="B329" s="1"/>
      <c r="C329" s="1"/>
      <c r="F329" s="1"/>
      <c r="L329" s="1"/>
      <c r="M329" s="1"/>
      <c r="N329" s="1"/>
    </row>
    <row r="330" spans="1:14" x14ac:dyDescent="0.25">
      <c r="A330" s="1"/>
      <c r="B330" s="1"/>
      <c r="C330" s="1"/>
      <c r="F330" s="1"/>
      <c r="L330" s="1"/>
      <c r="M330" s="1"/>
      <c r="N330" s="1"/>
    </row>
    <row r="331" spans="1:14" x14ac:dyDescent="0.25">
      <c r="A331" s="1"/>
      <c r="B331" s="1"/>
      <c r="C331" s="1"/>
      <c r="F331" s="1"/>
      <c r="L331" s="1"/>
      <c r="M331" s="1"/>
      <c r="N331" s="1"/>
    </row>
    <row r="332" spans="1:14" x14ac:dyDescent="0.25">
      <c r="A332" s="1"/>
      <c r="B332" s="1"/>
      <c r="C332" s="1"/>
      <c r="F332" s="1"/>
      <c r="L332" s="1"/>
      <c r="M332" s="1"/>
      <c r="N332" s="1"/>
    </row>
    <row r="333" spans="1:14" x14ac:dyDescent="0.25">
      <c r="A333" s="1"/>
      <c r="B333" s="1"/>
      <c r="C333" s="1"/>
      <c r="F333" s="1"/>
      <c r="L333" s="1"/>
      <c r="M333" s="1"/>
      <c r="N333" s="1"/>
    </row>
    <row r="334" spans="1:14" x14ac:dyDescent="0.25">
      <c r="A334" s="1"/>
      <c r="B334" s="1"/>
      <c r="C334" s="1"/>
      <c r="F334" s="1"/>
      <c r="L334" s="1"/>
      <c r="M334" s="1"/>
      <c r="N334" s="1"/>
    </row>
    <row r="335" spans="1:14" x14ac:dyDescent="0.25">
      <c r="A335" s="1"/>
      <c r="B335" s="1"/>
      <c r="C335" s="1"/>
      <c r="F335" s="1"/>
      <c r="L335" s="1"/>
      <c r="M335" s="1"/>
      <c r="N335" s="1"/>
    </row>
    <row r="336" spans="1:14" x14ac:dyDescent="0.25">
      <c r="A336" s="1"/>
      <c r="B336" s="1"/>
      <c r="C336" s="1"/>
      <c r="F336" s="1"/>
      <c r="L336" s="1"/>
      <c r="M336" s="1"/>
      <c r="N336" s="1"/>
    </row>
    <row r="337" spans="1:14" x14ac:dyDescent="0.25">
      <c r="A337" s="1"/>
      <c r="B337" s="1"/>
      <c r="C337" s="1"/>
      <c r="F337" s="1"/>
      <c r="L337" s="1"/>
      <c r="M337" s="1"/>
      <c r="N337" s="1"/>
    </row>
    <row r="338" spans="1:14" x14ac:dyDescent="0.25">
      <c r="A338" s="1"/>
      <c r="B338" s="1"/>
      <c r="C338" s="1"/>
      <c r="F338" s="1"/>
      <c r="L338" s="1"/>
      <c r="M338" s="1"/>
      <c r="N338" s="1"/>
    </row>
    <row r="339" spans="1:14" x14ac:dyDescent="0.25">
      <c r="A339" s="1"/>
      <c r="B339" s="1"/>
      <c r="C339" s="1"/>
      <c r="F339" s="1"/>
      <c r="L339" s="1"/>
      <c r="M339" s="1"/>
      <c r="N339" s="1"/>
    </row>
    <row r="340" spans="1:14" x14ac:dyDescent="0.25">
      <c r="A340" s="1"/>
      <c r="B340" s="1"/>
      <c r="C340" s="1"/>
      <c r="F340" s="1"/>
      <c r="L340" s="1"/>
      <c r="M340" s="1"/>
      <c r="N340" s="1"/>
    </row>
    <row r="341" spans="1:14" x14ac:dyDescent="0.25">
      <c r="A341" s="1"/>
      <c r="B341" s="1"/>
      <c r="C341" s="1"/>
      <c r="F341" s="1"/>
      <c r="L341" s="1"/>
      <c r="M341" s="1"/>
      <c r="N341" s="1"/>
    </row>
    <row r="342" spans="1:14" x14ac:dyDescent="0.25">
      <c r="A342" s="1"/>
      <c r="B342" s="1"/>
      <c r="C342" s="1"/>
      <c r="F342" s="1"/>
      <c r="L342" s="1"/>
      <c r="M342" s="1"/>
      <c r="N342" s="1"/>
    </row>
    <row r="343" spans="1:14" x14ac:dyDescent="0.25">
      <c r="A343" s="1"/>
      <c r="B343" s="1"/>
      <c r="C343" s="1"/>
      <c r="F343" s="1"/>
      <c r="L343" s="1"/>
      <c r="M343" s="1"/>
      <c r="N343" s="1"/>
    </row>
    <row r="344" spans="1:14" x14ac:dyDescent="0.25">
      <c r="A344" s="1"/>
      <c r="B344" s="1"/>
      <c r="C344" s="1"/>
      <c r="F344" s="1"/>
      <c r="L344" s="1"/>
      <c r="M344" s="1"/>
      <c r="N344" s="1"/>
    </row>
    <row r="345" spans="1:14" x14ac:dyDescent="0.25">
      <c r="A345" s="1"/>
      <c r="B345" s="1"/>
      <c r="C345" s="1"/>
      <c r="F345" s="1"/>
      <c r="L345" s="1"/>
      <c r="M345" s="1"/>
      <c r="N345" s="1"/>
    </row>
    <row r="346" spans="1:14" x14ac:dyDescent="0.25">
      <c r="A346" s="1"/>
      <c r="B346" s="1"/>
      <c r="C346" s="1"/>
      <c r="F346" s="1"/>
      <c r="L346" s="1"/>
      <c r="M346" s="1"/>
      <c r="N346" s="1"/>
    </row>
    <row r="347" spans="1:14" x14ac:dyDescent="0.25">
      <c r="A347" s="1"/>
      <c r="B347" s="1"/>
      <c r="C347" s="1"/>
      <c r="F347" s="1"/>
      <c r="L347" s="1"/>
      <c r="M347" s="1"/>
      <c r="N347" s="1"/>
    </row>
    <row r="348" spans="1:14" x14ac:dyDescent="0.25">
      <c r="A348" s="1"/>
      <c r="B348" s="1"/>
      <c r="C348" s="1"/>
      <c r="F348" s="1"/>
      <c r="L348" s="1"/>
      <c r="M348" s="1"/>
      <c r="N348" s="1"/>
    </row>
    <row r="349" spans="1:14" x14ac:dyDescent="0.25">
      <c r="A349" s="1"/>
      <c r="B349" s="1"/>
      <c r="C349" s="1"/>
      <c r="F349" s="1"/>
      <c r="L349" s="1"/>
      <c r="M349" s="1"/>
      <c r="N349" s="1"/>
    </row>
    <row r="350" spans="1:14" x14ac:dyDescent="0.25">
      <c r="A350" s="1"/>
      <c r="B350" s="1"/>
      <c r="C350" s="1"/>
      <c r="F350" s="1"/>
      <c r="L350" s="1"/>
      <c r="M350" s="1"/>
      <c r="N350" s="1"/>
    </row>
    <row r="351" spans="1:14" x14ac:dyDescent="0.25">
      <c r="A351" s="1"/>
      <c r="B351" s="1"/>
      <c r="C351" s="1"/>
      <c r="F351" s="1"/>
      <c r="L351" s="1"/>
      <c r="M351" s="1"/>
      <c r="N351" s="1"/>
    </row>
    <row r="352" spans="1:14" x14ac:dyDescent="0.25">
      <c r="A352" s="1"/>
      <c r="B352" s="1"/>
      <c r="C352" s="1"/>
      <c r="F352" s="1"/>
      <c r="L352" s="1"/>
      <c r="M352" s="1"/>
      <c r="N352" s="1"/>
    </row>
    <row r="353" spans="1:14" x14ac:dyDescent="0.25">
      <c r="A353" s="1"/>
      <c r="B353" s="1"/>
      <c r="C353" s="1"/>
      <c r="F353" s="1"/>
      <c r="L353" s="1"/>
      <c r="M353" s="1"/>
      <c r="N353" s="1"/>
    </row>
    <row r="354" spans="1:14" x14ac:dyDescent="0.25">
      <c r="A354" s="1"/>
      <c r="B354" s="1"/>
      <c r="C354" s="1"/>
      <c r="F354" s="1"/>
      <c r="L354" s="1"/>
      <c r="M354" s="1"/>
      <c r="N354" s="1"/>
    </row>
    <row r="355" spans="1:14" x14ac:dyDescent="0.25">
      <c r="A355" s="1"/>
      <c r="B355" s="1"/>
      <c r="C355" s="1"/>
      <c r="F355" s="1"/>
      <c r="L355" s="1"/>
      <c r="M355" s="1"/>
      <c r="N355" s="1"/>
    </row>
    <row r="356" spans="1:14" x14ac:dyDescent="0.25">
      <c r="A356" s="1"/>
      <c r="B356" s="1"/>
      <c r="C356" s="1"/>
      <c r="F356" s="1"/>
      <c r="L356" s="1"/>
      <c r="M356" s="1"/>
      <c r="N356" s="1"/>
    </row>
    <row r="357" spans="1:14" x14ac:dyDescent="0.25">
      <c r="A357" s="1"/>
      <c r="B357" s="1"/>
      <c r="C357" s="1"/>
      <c r="F357" s="1"/>
      <c r="L357" s="1"/>
      <c r="M357" s="1"/>
      <c r="N357" s="1"/>
    </row>
    <row r="358" spans="1:14" x14ac:dyDescent="0.25">
      <c r="A358" s="1"/>
      <c r="B358" s="1"/>
      <c r="C358" s="1"/>
      <c r="F358" s="1"/>
      <c r="L358" s="1"/>
      <c r="M358" s="1"/>
      <c r="N358" s="1"/>
    </row>
    <row r="359" spans="1:14" x14ac:dyDescent="0.25">
      <c r="A359" s="1"/>
      <c r="B359" s="1"/>
      <c r="C359" s="1"/>
      <c r="F359" s="1"/>
      <c r="L359" s="1"/>
      <c r="M359" s="1"/>
      <c r="N359" s="1"/>
    </row>
    <row r="360" spans="1:14" x14ac:dyDescent="0.25">
      <c r="A360" s="1"/>
      <c r="B360" s="1"/>
      <c r="C360" s="1"/>
      <c r="F360" s="1"/>
      <c r="L360" s="1"/>
      <c r="M360" s="1"/>
      <c r="N360" s="1"/>
    </row>
    <row r="361" spans="1:14" x14ac:dyDescent="0.25">
      <c r="A361" s="1"/>
      <c r="B361" s="1"/>
      <c r="C361" s="1"/>
      <c r="F361" s="1"/>
      <c r="L361" s="1"/>
      <c r="M361" s="1"/>
      <c r="N361" s="1"/>
    </row>
    <row r="362" spans="1:14" x14ac:dyDescent="0.25">
      <c r="A362" s="1"/>
      <c r="B362" s="1"/>
      <c r="C362" s="1"/>
      <c r="F362" s="1"/>
      <c r="L362" s="1"/>
      <c r="M362" s="1"/>
      <c r="N362" s="1"/>
    </row>
    <row r="363" spans="1:14" x14ac:dyDescent="0.25">
      <c r="A363" s="1"/>
      <c r="B363" s="1"/>
      <c r="C363" s="1"/>
      <c r="F363" s="1"/>
      <c r="L363" s="1"/>
      <c r="M363" s="1"/>
      <c r="N363" s="1"/>
    </row>
    <row r="364" spans="1:14" x14ac:dyDescent="0.25">
      <c r="A364" s="1"/>
      <c r="B364" s="1"/>
      <c r="C364" s="1"/>
      <c r="F364" s="1"/>
      <c r="L364" s="1"/>
      <c r="M364" s="1"/>
      <c r="N364" s="1"/>
    </row>
    <row r="365" spans="1:14" x14ac:dyDescent="0.25">
      <c r="A365" s="1"/>
      <c r="B365" s="1"/>
      <c r="C365" s="1"/>
      <c r="F365" s="1"/>
      <c r="L365" s="1"/>
      <c r="M365" s="1"/>
      <c r="N365" s="1"/>
    </row>
    <row r="366" spans="1:14" x14ac:dyDescent="0.25">
      <c r="A366" s="1"/>
      <c r="B366" s="1"/>
      <c r="C366" s="1"/>
      <c r="F366" s="1"/>
      <c r="L366" s="1"/>
      <c r="M366" s="1"/>
      <c r="N366" s="1"/>
    </row>
    <row r="367" spans="1:14" x14ac:dyDescent="0.25">
      <c r="A367" s="1"/>
      <c r="B367" s="1"/>
      <c r="C367" s="1"/>
      <c r="F367" s="1"/>
      <c r="L367" s="1"/>
      <c r="M367" s="1"/>
      <c r="N367" s="1"/>
    </row>
    <row r="368" spans="1:14" x14ac:dyDescent="0.25">
      <c r="A368" s="1"/>
      <c r="B368" s="1"/>
      <c r="C368" s="1"/>
      <c r="F368" s="1"/>
      <c r="L368" s="1"/>
      <c r="M368" s="1"/>
      <c r="N368" s="1"/>
    </row>
    <row r="369" spans="1:14" x14ac:dyDescent="0.25">
      <c r="A369" s="1"/>
      <c r="B369" s="1"/>
      <c r="C369" s="1"/>
      <c r="F369" s="1"/>
      <c r="L369" s="1"/>
      <c r="M369" s="1"/>
      <c r="N369" s="1"/>
    </row>
    <row r="370" spans="1:14" x14ac:dyDescent="0.25">
      <c r="A370" s="1"/>
      <c r="B370" s="1"/>
      <c r="C370" s="1"/>
      <c r="F370" s="1"/>
      <c r="L370" s="1"/>
      <c r="M370" s="1"/>
      <c r="N370" s="1"/>
    </row>
    <row r="371" spans="1:14" x14ac:dyDescent="0.25">
      <c r="A371" s="1"/>
      <c r="B371" s="1"/>
      <c r="C371" s="1"/>
      <c r="F371" s="1"/>
      <c r="L371" s="1"/>
      <c r="M371" s="1"/>
      <c r="N371" s="1"/>
    </row>
    <row r="372" spans="1:14" x14ac:dyDescent="0.25">
      <c r="A372" s="1"/>
      <c r="B372" s="1"/>
      <c r="C372" s="1"/>
      <c r="F372" s="1"/>
      <c r="L372" s="1"/>
      <c r="M372" s="1"/>
      <c r="N372" s="1"/>
    </row>
    <row r="373" spans="1:14" x14ac:dyDescent="0.25">
      <c r="A373" s="1"/>
      <c r="B373" s="1"/>
      <c r="C373" s="1"/>
      <c r="F373" s="1"/>
      <c r="L373" s="1"/>
      <c r="M373" s="1"/>
      <c r="N373" s="1"/>
    </row>
    <row r="374" spans="1:14" x14ac:dyDescent="0.25">
      <c r="A374" s="1"/>
      <c r="B374" s="1"/>
      <c r="C374" s="1"/>
      <c r="F374" s="1"/>
      <c r="L374" s="1"/>
      <c r="M374" s="1"/>
      <c r="N374" s="1"/>
    </row>
    <row r="375" spans="1:14" x14ac:dyDescent="0.25">
      <c r="A375" s="1"/>
      <c r="B375" s="1"/>
      <c r="C375" s="1"/>
      <c r="F375" s="1"/>
      <c r="L375" s="1"/>
      <c r="M375" s="1"/>
      <c r="N375" s="1"/>
    </row>
    <row r="376" spans="1:14" x14ac:dyDescent="0.25">
      <c r="A376" s="1"/>
      <c r="B376" s="1"/>
      <c r="C376" s="1"/>
      <c r="F376" s="1"/>
      <c r="L376" s="1"/>
      <c r="M376" s="1"/>
      <c r="N376" s="1"/>
    </row>
    <row r="377" spans="1:14" x14ac:dyDescent="0.25">
      <c r="A377" s="1"/>
      <c r="B377" s="1"/>
      <c r="C377" s="1"/>
      <c r="F377" s="1"/>
      <c r="L377" s="1"/>
      <c r="M377" s="1"/>
      <c r="N377" s="1"/>
    </row>
    <row r="378" spans="1:14" x14ac:dyDescent="0.25">
      <c r="A378" s="1"/>
      <c r="B378" s="1"/>
      <c r="C378" s="1"/>
      <c r="F378" s="1"/>
      <c r="L378" s="1"/>
      <c r="M378" s="1"/>
      <c r="N378" s="1"/>
    </row>
    <row r="379" spans="1:14" x14ac:dyDescent="0.25">
      <c r="A379" s="1"/>
      <c r="B379" s="1"/>
      <c r="C379" s="1"/>
      <c r="F379" s="1"/>
      <c r="L379" s="1"/>
      <c r="M379" s="1"/>
      <c r="N379" s="1"/>
    </row>
    <row r="380" spans="1:14" x14ac:dyDescent="0.25">
      <c r="A380" s="1"/>
      <c r="B380" s="1"/>
      <c r="C380" s="1"/>
      <c r="F380" s="1"/>
      <c r="L380" s="1"/>
      <c r="M380" s="1"/>
      <c r="N380" s="1"/>
    </row>
    <row r="381" spans="1:14" x14ac:dyDescent="0.25">
      <c r="A381" s="1"/>
      <c r="B381" s="1"/>
      <c r="C381" s="1"/>
      <c r="F381" s="1"/>
      <c r="L381" s="1"/>
      <c r="M381" s="1"/>
      <c r="N381" s="1"/>
    </row>
    <row r="382" spans="1:14" x14ac:dyDescent="0.25">
      <c r="A382" s="1"/>
      <c r="B382" s="1"/>
      <c r="C382" s="1"/>
      <c r="F382" s="1"/>
      <c r="L382" s="1"/>
      <c r="M382" s="1"/>
      <c r="N382" s="1"/>
    </row>
    <row r="383" spans="1:14" x14ac:dyDescent="0.25">
      <c r="A383" s="1"/>
      <c r="B383" s="1"/>
      <c r="C383" s="1"/>
      <c r="F383" s="1"/>
      <c r="L383" s="1"/>
      <c r="M383" s="1"/>
      <c r="N383" s="1"/>
    </row>
    <row r="384" spans="1:14" x14ac:dyDescent="0.25">
      <c r="A384" s="1"/>
      <c r="B384" s="1"/>
      <c r="C384" s="1"/>
      <c r="F384" s="1"/>
      <c r="L384" s="1"/>
      <c r="M384" s="1"/>
      <c r="N384" s="1"/>
    </row>
    <row r="385" spans="1:14" x14ac:dyDescent="0.25">
      <c r="A385" s="1"/>
      <c r="B385" s="1"/>
      <c r="C385" s="1"/>
      <c r="F385" s="1"/>
      <c r="L385" s="1"/>
      <c r="M385" s="1"/>
      <c r="N385" s="1"/>
    </row>
    <row r="386" spans="1:14" x14ac:dyDescent="0.25">
      <c r="A386" s="1"/>
      <c r="B386" s="1"/>
      <c r="C386" s="1"/>
      <c r="F386" s="1"/>
      <c r="L386" s="1"/>
      <c r="M386" s="1"/>
      <c r="N386" s="1"/>
    </row>
    <row r="387" spans="1:14" x14ac:dyDescent="0.25">
      <c r="A387" s="1"/>
      <c r="B387" s="1"/>
      <c r="C387" s="1"/>
      <c r="F387" s="1"/>
      <c r="L387" s="1"/>
      <c r="M387" s="1"/>
      <c r="N387" s="1"/>
    </row>
    <row r="388" spans="1:14" x14ac:dyDescent="0.25">
      <c r="A388" s="1"/>
      <c r="B388" s="1"/>
      <c r="C388" s="1"/>
      <c r="F388" s="1"/>
      <c r="L388" s="1"/>
      <c r="M388" s="1"/>
      <c r="N388" s="1"/>
    </row>
    <row r="389" spans="1:14" x14ac:dyDescent="0.25">
      <c r="A389" s="1"/>
      <c r="B389" s="1"/>
      <c r="C389" s="1"/>
      <c r="F389" s="1"/>
      <c r="L389" s="1"/>
      <c r="M389" s="1"/>
      <c r="N389" s="1"/>
    </row>
    <row r="390" spans="1:14" x14ac:dyDescent="0.25">
      <c r="A390" s="1"/>
      <c r="B390" s="1"/>
      <c r="C390" s="1"/>
      <c r="F390" s="1"/>
      <c r="L390" s="1"/>
      <c r="M390" s="1"/>
      <c r="N390" s="1"/>
    </row>
    <row r="391" spans="1:14" x14ac:dyDescent="0.25">
      <c r="A391" s="1"/>
      <c r="B391" s="1"/>
      <c r="C391" s="1"/>
      <c r="F391" s="1"/>
      <c r="L391" s="1"/>
      <c r="M391" s="1"/>
      <c r="N391" s="1"/>
    </row>
    <row r="392" spans="1:14" x14ac:dyDescent="0.25">
      <c r="A392" s="1"/>
      <c r="B392" s="1"/>
      <c r="C392" s="1"/>
      <c r="F392" s="1"/>
      <c r="L392" s="1"/>
      <c r="M392" s="1"/>
      <c r="N392" s="1"/>
    </row>
    <row r="393" spans="1:14" x14ac:dyDescent="0.25">
      <c r="A393" s="1"/>
      <c r="B393" s="1"/>
      <c r="C393" s="1"/>
      <c r="F393" s="1"/>
      <c r="L393" s="1"/>
      <c r="M393" s="1"/>
      <c r="N393" s="1"/>
    </row>
    <row r="394" spans="1:14" x14ac:dyDescent="0.25">
      <c r="A394" s="1"/>
      <c r="B394" s="1"/>
      <c r="C394" s="1"/>
      <c r="F394" s="1"/>
      <c r="L394" s="1"/>
      <c r="M394" s="1"/>
      <c r="N394" s="1"/>
    </row>
    <row r="395" spans="1:14" x14ac:dyDescent="0.25">
      <c r="A395" s="1"/>
      <c r="B395" s="1"/>
      <c r="C395" s="1"/>
      <c r="F395" s="1"/>
      <c r="L395" s="1"/>
      <c r="M395" s="1"/>
      <c r="N395" s="1"/>
    </row>
    <row r="396" spans="1:14" x14ac:dyDescent="0.25">
      <c r="A396" s="1"/>
      <c r="B396" s="1"/>
      <c r="C396" s="1"/>
      <c r="F396" s="1"/>
      <c r="L396" s="1"/>
      <c r="M396" s="1"/>
      <c r="N396" s="1"/>
    </row>
    <row r="397" spans="1:14" x14ac:dyDescent="0.25">
      <c r="A397" s="1"/>
      <c r="B397" s="1"/>
      <c r="C397" s="1"/>
      <c r="F397" s="1"/>
      <c r="L397" s="1"/>
      <c r="M397" s="1"/>
      <c r="N397" s="1"/>
    </row>
    <row r="398" spans="1:14" x14ac:dyDescent="0.25">
      <c r="A398" s="1"/>
      <c r="B398" s="1"/>
      <c r="C398" s="1"/>
      <c r="F398" s="1"/>
      <c r="L398" s="1"/>
      <c r="M398" s="1"/>
      <c r="N398" s="1"/>
    </row>
    <row r="399" spans="1:14" x14ac:dyDescent="0.25">
      <c r="A399" s="1"/>
      <c r="B399" s="1"/>
      <c r="C399" s="1"/>
      <c r="F399" s="1"/>
      <c r="L399" s="1"/>
      <c r="M399" s="1"/>
      <c r="N399" s="1"/>
    </row>
    <row r="400" spans="1:14" x14ac:dyDescent="0.25">
      <c r="A400" s="1"/>
      <c r="B400" s="1"/>
      <c r="C400" s="1"/>
      <c r="F400" s="1"/>
      <c r="L400" s="1"/>
      <c r="M400" s="1"/>
      <c r="N400" s="1"/>
    </row>
    <row r="401" spans="1:14" x14ac:dyDescent="0.25">
      <c r="A401" s="1"/>
      <c r="B401" s="1"/>
      <c r="C401" s="1"/>
      <c r="F401" s="1"/>
      <c r="L401" s="1"/>
      <c r="M401" s="1"/>
      <c r="N401" s="1"/>
    </row>
    <row r="402" spans="1:14" x14ac:dyDescent="0.25">
      <c r="A402" s="1"/>
      <c r="B402" s="1"/>
      <c r="C402" s="1"/>
      <c r="F402" s="1"/>
      <c r="L402" s="1"/>
      <c r="M402" s="1"/>
      <c r="N402" s="1"/>
    </row>
    <row r="403" spans="1:14" x14ac:dyDescent="0.25">
      <c r="A403" s="1"/>
      <c r="B403" s="1"/>
      <c r="C403" s="1"/>
      <c r="F403" s="1"/>
      <c r="L403" s="1"/>
      <c r="M403" s="1"/>
      <c r="N403" s="1"/>
    </row>
    <row r="404" spans="1:14" x14ac:dyDescent="0.25">
      <c r="A404" s="1"/>
      <c r="B404" s="1"/>
      <c r="C404" s="1"/>
      <c r="F404" s="1"/>
      <c r="L404" s="1"/>
      <c r="M404" s="1"/>
      <c r="N404" s="1"/>
    </row>
    <row r="405" spans="1:14" x14ac:dyDescent="0.25">
      <c r="A405" s="1"/>
      <c r="B405" s="1"/>
      <c r="C405" s="1"/>
      <c r="F405" s="1"/>
      <c r="L405" s="1"/>
      <c r="M405" s="1"/>
      <c r="N405" s="1"/>
    </row>
    <row r="406" spans="1:14" x14ac:dyDescent="0.25">
      <c r="A406" s="1"/>
      <c r="B406" s="1"/>
      <c r="C406" s="1"/>
      <c r="F406" s="1"/>
      <c r="L406" s="1"/>
      <c r="M406" s="1"/>
      <c r="N406" s="1"/>
    </row>
    <row r="407" spans="1:14" x14ac:dyDescent="0.25">
      <c r="A407" s="1"/>
      <c r="B407" s="1"/>
      <c r="C407" s="1"/>
      <c r="F407" s="1"/>
      <c r="L407" s="1"/>
      <c r="M407" s="1"/>
      <c r="N407" s="1"/>
    </row>
    <row r="408" spans="1:14" x14ac:dyDescent="0.25">
      <c r="A408" s="1"/>
      <c r="B408" s="1"/>
      <c r="C408" s="1"/>
      <c r="F408" s="1"/>
      <c r="L408" s="1"/>
      <c r="M408" s="1"/>
      <c r="N408" s="1"/>
    </row>
    <row r="409" spans="1:14" x14ac:dyDescent="0.25">
      <c r="A409" s="1"/>
      <c r="B409" s="1"/>
      <c r="C409" s="1"/>
      <c r="F409" s="1"/>
      <c r="L409" s="1"/>
      <c r="M409" s="1"/>
      <c r="N409" s="1"/>
    </row>
    <row r="410" spans="1:14" x14ac:dyDescent="0.25">
      <c r="A410" s="1"/>
      <c r="B410" s="1"/>
      <c r="C410" s="1"/>
      <c r="F410" s="1"/>
      <c r="L410" s="1"/>
      <c r="M410" s="1"/>
      <c r="N410" s="1"/>
    </row>
    <row r="411" spans="1:14" x14ac:dyDescent="0.25">
      <c r="A411" s="1"/>
      <c r="B411" s="1"/>
      <c r="C411" s="1"/>
      <c r="F411" s="1"/>
      <c r="L411" s="1"/>
      <c r="M411" s="1"/>
      <c r="N411" s="1"/>
    </row>
    <row r="412" spans="1:14" x14ac:dyDescent="0.25">
      <c r="A412" s="1"/>
      <c r="B412" s="1"/>
      <c r="C412" s="1"/>
      <c r="F412" s="1"/>
      <c r="L412" s="1"/>
      <c r="M412" s="1"/>
      <c r="N412" s="1"/>
    </row>
    <row r="413" spans="1:14" x14ac:dyDescent="0.25">
      <c r="A413" s="1"/>
      <c r="B413" s="1"/>
      <c r="C413" s="1"/>
      <c r="F413" s="1"/>
      <c r="L413" s="1"/>
      <c r="M413" s="1"/>
      <c r="N413" s="1"/>
    </row>
    <row r="414" spans="1:14" x14ac:dyDescent="0.25">
      <c r="A414" s="1"/>
      <c r="B414" s="1"/>
      <c r="C414" s="1"/>
      <c r="F414" s="1"/>
      <c r="L414" s="1"/>
      <c r="M414" s="1"/>
      <c r="N414" s="1"/>
    </row>
    <row r="415" spans="1:14" x14ac:dyDescent="0.25">
      <c r="A415" s="1"/>
      <c r="B415" s="1"/>
      <c r="C415" s="1"/>
      <c r="F415" s="1"/>
      <c r="L415" s="1"/>
      <c r="M415" s="1"/>
      <c r="N415" s="1"/>
    </row>
    <row r="416" spans="1:14" x14ac:dyDescent="0.25">
      <c r="A416" s="1"/>
      <c r="B416" s="1"/>
      <c r="C416" s="1"/>
      <c r="F416" s="1"/>
      <c r="L416" s="1"/>
      <c r="M416" s="1"/>
      <c r="N416" s="1"/>
    </row>
    <row r="417" spans="1:14" x14ac:dyDescent="0.25">
      <c r="A417" s="1"/>
      <c r="B417" s="1"/>
      <c r="C417" s="1"/>
      <c r="F417" s="1"/>
      <c r="L417" s="1"/>
      <c r="M417" s="1"/>
      <c r="N417" s="1"/>
    </row>
    <row r="418" spans="1:14" x14ac:dyDescent="0.25">
      <c r="A418" s="1"/>
      <c r="B418" s="1"/>
      <c r="C418" s="1"/>
      <c r="F418" s="1"/>
      <c r="L418" s="1"/>
      <c r="M418" s="1"/>
      <c r="N418" s="1"/>
    </row>
    <row r="419" spans="1:14" x14ac:dyDescent="0.25">
      <c r="A419" s="1"/>
      <c r="B419" s="1"/>
      <c r="C419" s="1"/>
      <c r="F419" s="1"/>
      <c r="L419" s="1"/>
      <c r="M419" s="1"/>
      <c r="N419" s="1"/>
    </row>
    <row r="420" spans="1:14" x14ac:dyDescent="0.25">
      <c r="A420" s="1"/>
      <c r="B420" s="1"/>
      <c r="C420" s="1"/>
      <c r="F420" s="1"/>
      <c r="L420" s="1"/>
      <c r="M420" s="1"/>
      <c r="N420" s="1"/>
    </row>
    <row r="421" spans="1:14" x14ac:dyDescent="0.25">
      <c r="A421" s="1"/>
      <c r="B421" s="1"/>
      <c r="C421" s="1"/>
      <c r="F421" s="1"/>
      <c r="L421" s="1"/>
      <c r="M421" s="1"/>
      <c r="N421" s="1"/>
    </row>
    <row r="422" spans="1:14" x14ac:dyDescent="0.25">
      <c r="A422" s="1"/>
      <c r="B422" s="1"/>
      <c r="C422" s="1"/>
      <c r="F422" s="1"/>
      <c r="L422" s="1"/>
      <c r="M422" s="1"/>
      <c r="N422" s="1"/>
    </row>
    <row r="423" spans="1:14" x14ac:dyDescent="0.25">
      <c r="A423" s="1"/>
      <c r="B423" s="1"/>
      <c r="C423" s="1"/>
      <c r="F423" s="1"/>
      <c r="L423" s="1"/>
      <c r="M423" s="1"/>
      <c r="N423" s="1"/>
    </row>
    <row r="424" spans="1:14" x14ac:dyDescent="0.25">
      <c r="A424" s="1"/>
      <c r="B424" s="1"/>
      <c r="C424" s="1"/>
      <c r="F424" s="1"/>
      <c r="L424" s="1"/>
      <c r="M424" s="1"/>
      <c r="N424" s="1"/>
    </row>
    <row r="425" spans="1:14" x14ac:dyDescent="0.25">
      <c r="A425" s="1"/>
      <c r="B425" s="1"/>
      <c r="C425" s="1"/>
      <c r="F425" s="1"/>
      <c r="L425" s="1"/>
      <c r="M425" s="1"/>
      <c r="N425" s="1"/>
    </row>
    <row r="426" spans="1:14" x14ac:dyDescent="0.25">
      <c r="A426" s="1"/>
      <c r="B426" s="1"/>
      <c r="C426" s="1"/>
      <c r="F426" s="1"/>
      <c r="L426" s="1"/>
      <c r="M426" s="1"/>
      <c r="N426" s="1"/>
    </row>
    <row r="427" spans="1:14" x14ac:dyDescent="0.25">
      <c r="A427" s="1"/>
      <c r="B427" s="1"/>
      <c r="C427" s="1"/>
      <c r="F427" s="1"/>
      <c r="L427" s="1"/>
      <c r="M427" s="1"/>
      <c r="N427" s="1"/>
    </row>
    <row r="428" spans="1:14" x14ac:dyDescent="0.25">
      <c r="A428" s="1"/>
      <c r="B428" s="1"/>
      <c r="C428" s="1"/>
      <c r="F428" s="1"/>
      <c r="L428" s="1"/>
      <c r="M428" s="1"/>
      <c r="N428" s="1"/>
    </row>
    <row r="429" spans="1:14" x14ac:dyDescent="0.25">
      <c r="A429" s="1"/>
      <c r="B429" s="1"/>
      <c r="C429" s="1"/>
      <c r="F429" s="1"/>
      <c r="L429" s="1"/>
      <c r="M429" s="1"/>
      <c r="N429" s="1"/>
    </row>
    <row r="430" spans="1:14" x14ac:dyDescent="0.25">
      <c r="A430" s="1"/>
      <c r="B430" s="1"/>
      <c r="C430" s="1"/>
      <c r="F430" s="1"/>
      <c r="L430" s="1"/>
      <c r="M430" s="1"/>
      <c r="N430" s="1"/>
    </row>
    <row r="431" spans="1:14" x14ac:dyDescent="0.25">
      <c r="A431" s="1"/>
      <c r="B431" s="1"/>
      <c r="C431" s="1"/>
      <c r="F431" s="1"/>
      <c r="L431" s="1"/>
      <c r="M431" s="1"/>
      <c r="N431" s="1"/>
    </row>
    <row r="432" spans="1:14" x14ac:dyDescent="0.25">
      <c r="A432" s="1"/>
      <c r="B432" s="1"/>
      <c r="C432" s="1"/>
      <c r="F432" s="1"/>
      <c r="L432" s="1"/>
      <c r="M432" s="1"/>
      <c r="N432" s="1"/>
    </row>
    <row r="433" spans="1:14" x14ac:dyDescent="0.25">
      <c r="A433" s="1"/>
      <c r="B433" s="1"/>
      <c r="C433" s="1"/>
      <c r="F433" s="1"/>
      <c r="L433" s="1"/>
      <c r="M433" s="1"/>
      <c r="N433" s="1"/>
    </row>
    <row r="434" spans="1:14" x14ac:dyDescent="0.25">
      <c r="A434" s="1"/>
      <c r="B434" s="1"/>
      <c r="C434" s="1"/>
      <c r="F434" s="1"/>
      <c r="L434" s="1"/>
      <c r="M434" s="1"/>
      <c r="N434" s="1"/>
    </row>
    <row r="435" spans="1:14" x14ac:dyDescent="0.25">
      <c r="A435" s="1"/>
      <c r="B435" s="1"/>
      <c r="C435" s="1"/>
      <c r="F435" s="1"/>
      <c r="L435" s="1"/>
      <c r="M435" s="1"/>
      <c r="N435" s="1"/>
    </row>
    <row r="436" spans="1:14" x14ac:dyDescent="0.25">
      <c r="A436" s="1"/>
      <c r="B436" s="1"/>
      <c r="C436" s="1"/>
      <c r="F436" s="1"/>
      <c r="L436" s="1"/>
      <c r="M436" s="1"/>
      <c r="N436" s="1"/>
    </row>
    <row r="437" spans="1:14" x14ac:dyDescent="0.25">
      <c r="A437" s="1"/>
      <c r="B437" s="1"/>
      <c r="C437" s="1"/>
      <c r="F437" s="1"/>
      <c r="L437" s="1"/>
      <c r="M437" s="1"/>
      <c r="N437" s="1"/>
    </row>
    <row r="438" spans="1:14" x14ac:dyDescent="0.25">
      <c r="A438" s="1"/>
      <c r="B438" s="1"/>
      <c r="C438" s="1"/>
      <c r="F438" s="1"/>
      <c r="L438" s="1"/>
      <c r="M438" s="1"/>
      <c r="N438" s="1"/>
    </row>
    <row r="439" spans="1:14" x14ac:dyDescent="0.25">
      <c r="A439" s="1"/>
      <c r="B439" s="1"/>
      <c r="C439" s="1"/>
      <c r="F439" s="1"/>
      <c r="L439" s="1"/>
      <c r="M439" s="1"/>
      <c r="N439" s="1"/>
    </row>
    <row r="440" spans="1:14" x14ac:dyDescent="0.25">
      <c r="A440" s="1"/>
      <c r="B440" s="1"/>
      <c r="C440" s="1"/>
      <c r="F440" s="1"/>
      <c r="L440" s="1"/>
      <c r="M440" s="1"/>
      <c r="N440" s="1"/>
    </row>
    <row r="441" spans="1:14" x14ac:dyDescent="0.25">
      <c r="A441" s="1"/>
      <c r="B441" s="1"/>
      <c r="C441" s="1"/>
      <c r="F441" s="1"/>
      <c r="L441" s="1"/>
      <c r="M441" s="1"/>
      <c r="N441" s="1"/>
    </row>
    <row r="442" spans="1:14" x14ac:dyDescent="0.25">
      <c r="A442" s="1"/>
      <c r="B442" s="1"/>
      <c r="C442" s="1"/>
      <c r="F442" s="1"/>
      <c r="L442" s="1"/>
      <c r="M442" s="1"/>
      <c r="N442" s="1"/>
    </row>
    <row r="443" spans="1:14" x14ac:dyDescent="0.25">
      <c r="A443" s="1"/>
      <c r="B443" s="1"/>
      <c r="C443" s="1"/>
      <c r="F443" s="1"/>
      <c r="L443" s="1"/>
      <c r="M443" s="1"/>
      <c r="N443" s="1"/>
    </row>
    <row r="444" spans="1:14" x14ac:dyDescent="0.25">
      <c r="A444" s="1"/>
      <c r="B444" s="1"/>
      <c r="C444" s="1"/>
      <c r="F444" s="1"/>
      <c r="L444" s="1"/>
      <c r="M444" s="1"/>
      <c r="N444" s="1"/>
    </row>
    <row r="445" spans="1:14" x14ac:dyDescent="0.25">
      <c r="A445" s="1"/>
      <c r="B445" s="1"/>
      <c r="C445" s="1"/>
      <c r="F445" s="1"/>
      <c r="L445" s="1"/>
      <c r="M445" s="1"/>
      <c r="N445" s="1"/>
    </row>
    <row r="446" spans="1:14" x14ac:dyDescent="0.25">
      <c r="A446" s="1"/>
      <c r="B446" s="1"/>
      <c r="C446" s="1"/>
      <c r="F446" s="1"/>
      <c r="L446" s="1"/>
      <c r="M446" s="1"/>
      <c r="N446" s="1"/>
    </row>
    <row r="447" spans="1:14" x14ac:dyDescent="0.25">
      <c r="A447" s="1"/>
      <c r="B447" s="1"/>
      <c r="C447" s="1"/>
      <c r="F447" s="1"/>
      <c r="L447" s="1"/>
      <c r="M447" s="1"/>
      <c r="N447" s="1"/>
    </row>
    <row r="448" spans="1:14" x14ac:dyDescent="0.25">
      <c r="A448" s="1"/>
      <c r="B448" s="1"/>
      <c r="C448" s="1"/>
      <c r="F448" s="1"/>
      <c r="L448" s="1"/>
      <c r="M448" s="1"/>
      <c r="N448" s="1"/>
    </row>
    <row r="449" spans="1:14" x14ac:dyDescent="0.25">
      <c r="A449" s="1"/>
      <c r="B449" s="1"/>
      <c r="C449" s="1"/>
      <c r="F449" s="1"/>
      <c r="L449" s="1"/>
      <c r="M449" s="1"/>
      <c r="N449" s="1"/>
    </row>
    <row r="450" spans="1:14" x14ac:dyDescent="0.25">
      <c r="A450" s="1"/>
      <c r="B450" s="1"/>
      <c r="C450" s="1"/>
      <c r="F450" s="1"/>
      <c r="L450" s="1"/>
      <c r="M450" s="1"/>
      <c r="N450" s="1"/>
    </row>
    <row r="451" spans="1:14" x14ac:dyDescent="0.25">
      <c r="A451" s="1"/>
      <c r="B451" s="1"/>
      <c r="C451" s="1"/>
      <c r="F451" s="1"/>
      <c r="L451" s="1"/>
      <c r="M451" s="1"/>
      <c r="N451" s="1"/>
    </row>
    <row r="452" spans="1:14" x14ac:dyDescent="0.25">
      <c r="A452" s="1"/>
      <c r="B452" s="1"/>
      <c r="C452" s="1"/>
      <c r="F452" s="1"/>
      <c r="L452" s="1"/>
      <c r="M452" s="1"/>
      <c r="N452" s="1"/>
    </row>
    <row r="453" spans="1:14" x14ac:dyDescent="0.25">
      <c r="A453" s="1"/>
      <c r="B453" s="1"/>
      <c r="C453" s="1"/>
      <c r="F453" s="1"/>
      <c r="L453" s="1"/>
      <c r="M453" s="1"/>
      <c r="N453" s="1"/>
    </row>
    <row r="454" spans="1:14" x14ac:dyDescent="0.25">
      <c r="A454" s="1"/>
      <c r="B454" s="1"/>
      <c r="C454" s="1"/>
      <c r="F454" s="1"/>
      <c r="L454" s="1"/>
      <c r="M454" s="1"/>
      <c r="N454" s="1"/>
    </row>
    <row r="455" spans="1:14" x14ac:dyDescent="0.25">
      <c r="A455" s="1"/>
      <c r="B455" s="1"/>
      <c r="C455" s="1"/>
      <c r="F455" s="1"/>
      <c r="L455" s="1"/>
      <c r="M455" s="1"/>
      <c r="N455" s="1"/>
    </row>
    <row r="456" spans="1:14" x14ac:dyDescent="0.25">
      <c r="A456" s="1"/>
      <c r="B456" s="1"/>
      <c r="C456" s="1"/>
      <c r="F456" s="1"/>
      <c r="L456" s="1"/>
      <c r="M456" s="1"/>
      <c r="N456" s="1"/>
    </row>
    <row r="457" spans="1:14" x14ac:dyDescent="0.25">
      <c r="A457" s="1"/>
      <c r="B457" s="1"/>
      <c r="C457" s="1"/>
      <c r="F457" s="1"/>
      <c r="L457" s="1"/>
      <c r="M457" s="1"/>
      <c r="N457" s="1"/>
    </row>
    <row r="458" spans="1:14" x14ac:dyDescent="0.25">
      <c r="A458" s="1"/>
      <c r="B458" s="1"/>
      <c r="C458" s="1"/>
      <c r="F458" s="1"/>
      <c r="L458" s="1"/>
      <c r="M458" s="1"/>
      <c r="N458" s="1"/>
    </row>
    <row r="459" spans="1:14" x14ac:dyDescent="0.25">
      <c r="A459" s="1"/>
      <c r="B459" s="1"/>
      <c r="C459" s="1"/>
      <c r="F459" s="1"/>
      <c r="L459" s="1"/>
      <c r="M459" s="1"/>
      <c r="N459" s="1"/>
    </row>
    <row r="460" spans="1:14" x14ac:dyDescent="0.25">
      <c r="A460" s="1"/>
      <c r="B460" s="1"/>
      <c r="C460" s="1"/>
      <c r="F460" s="1"/>
      <c r="L460" s="1"/>
      <c r="M460" s="1"/>
      <c r="N460" s="1"/>
    </row>
    <row r="461" spans="1:14" x14ac:dyDescent="0.25">
      <c r="A461" s="1"/>
      <c r="B461" s="1"/>
      <c r="C461" s="1"/>
      <c r="F461" s="1"/>
      <c r="L461" s="1"/>
      <c r="M461" s="1"/>
      <c r="N461" s="1"/>
    </row>
    <row r="462" spans="1:14" x14ac:dyDescent="0.25">
      <c r="A462" s="1"/>
      <c r="B462" s="1"/>
      <c r="C462" s="1"/>
      <c r="F462" s="1"/>
      <c r="L462" s="1"/>
      <c r="M462" s="1"/>
      <c r="N462" s="1"/>
    </row>
    <row r="463" spans="1:14" x14ac:dyDescent="0.25">
      <c r="A463" s="1"/>
      <c r="B463" s="1"/>
      <c r="C463" s="1"/>
      <c r="F463" s="1"/>
      <c r="L463" s="1"/>
      <c r="M463" s="1"/>
      <c r="N463" s="1"/>
    </row>
    <row r="464" spans="1:14" x14ac:dyDescent="0.25">
      <c r="A464" s="1"/>
      <c r="B464" s="1"/>
      <c r="C464" s="1"/>
      <c r="F464" s="1"/>
      <c r="L464" s="1"/>
      <c r="M464" s="1"/>
      <c r="N464" s="1"/>
    </row>
    <row r="465" spans="1:14" x14ac:dyDescent="0.25">
      <c r="A465" s="1"/>
      <c r="B465" s="1"/>
      <c r="C465" s="1"/>
      <c r="F465" s="1"/>
      <c r="L465" s="1"/>
      <c r="M465" s="1"/>
      <c r="N465" s="1"/>
    </row>
    <row r="466" spans="1:14" x14ac:dyDescent="0.25">
      <c r="A466" s="1"/>
      <c r="B466" s="1"/>
      <c r="C466" s="1"/>
      <c r="F466" s="1"/>
      <c r="L466" s="1"/>
      <c r="M466" s="1"/>
      <c r="N466" s="1"/>
    </row>
    <row r="467" spans="1:14" x14ac:dyDescent="0.25">
      <c r="A467" s="1"/>
      <c r="B467" s="1"/>
      <c r="C467" s="1"/>
      <c r="F467" s="1"/>
      <c r="L467" s="1"/>
      <c r="M467" s="1"/>
      <c r="N467" s="1"/>
    </row>
    <row r="468" spans="1:14" x14ac:dyDescent="0.25">
      <c r="A468" s="1"/>
      <c r="B468" s="1"/>
      <c r="C468" s="1"/>
      <c r="F468" s="1"/>
      <c r="L468" s="1"/>
      <c r="M468" s="1"/>
      <c r="N468" s="1"/>
    </row>
    <row r="469" spans="1:14" x14ac:dyDescent="0.25">
      <c r="A469" s="1"/>
      <c r="B469" s="1"/>
      <c r="C469" s="1"/>
      <c r="F469" s="1"/>
      <c r="L469" s="1"/>
      <c r="M469" s="1"/>
      <c r="N469" s="1"/>
    </row>
    <row r="470" spans="1:14" x14ac:dyDescent="0.25">
      <c r="A470" s="1"/>
      <c r="B470" s="1"/>
      <c r="C470" s="1"/>
      <c r="F470" s="1"/>
      <c r="L470" s="1"/>
      <c r="M470" s="1"/>
      <c r="N470" s="1"/>
    </row>
    <row r="471" spans="1:14" x14ac:dyDescent="0.25">
      <c r="A471" s="1"/>
      <c r="B471" s="1"/>
      <c r="C471" s="1"/>
      <c r="F471" s="1"/>
      <c r="L471" s="1"/>
      <c r="M471" s="1"/>
      <c r="N471" s="1"/>
    </row>
    <row r="472" spans="1:14" x14ac:dyDescent="0.25">
      <c r="A472" s="1"/>
      <c r="B472" s="1"/>
      <c r="C472" s="1"/>
      <c r="F472" s="1"/>
      <c r="L472" s="1"/>
      <c r="M472" s="1"/>
      <c r="N472" s="1"/>
    </row>
    <row r="473" spans="1:14" x14ac:dyDescent="0.25">
      <c r="A473" s="1"/>
      <c r="B473" s="1"/>
      <c r="C473" s="1"/>
      <c r="F473" s="1"/>
      <c r="L473" s="1"/>
      <c r="M473" s="1"/>
      <c r="N473" s="1"/>
    </row>
    <row r="474" spans="1:14" x14ac:dyDescent="0.25">
      <c r="A474" s="1"/>
      <c r="B474" s="1"/>
      <c r="C474" s="1"/>
      <c r="F474" s="1"/>
      <c r="L474" s="1"/>
      <c r="M474" s="1"/>
      <c r="N474" s="1"/>
    </row>
    <row r="475" spans="1:14" x14ac:dyDescent="0.25">
      <c r="A475" s="1"/>
      <c r="B475" s="1"/>
      <c r="C475" s="1"/>
      <c r="F475" s="1"/>
      <c r="L475" s="1"/>
      <c r="M475" s="1"/>
      <c r="N475" s="1"/>
    </row>
    <row r="476" spans="1:14" x14ac:dyDescent="0.25">
      <c r="A476" s="1"/>
      <c r="B476" s="1"/>
      <c r="C476" s="1"/>
      <c r="F476" s="1"/>
      <c r="L476" s="1"/>
      <c r="M476" s="1"/>
      <c r="N476" s="1"/>
    </row>
    <row r="477" spans="1:14" x14ac:dyDescent="0.25">
      <c r="A477" s="1"/>
      <c r="B477" s="1"/>
      <c r="C477" s="1"/>
      <c r="F477" s="1"/>
      <c r="L477" s="1"/>
      <c r="M477" s="1"/>
      <c r="N477" s="1"/>
    </row>
    <row r="478" spans="1:14" x14ac:dyDescent="0.25">
      <c r="A478" s="1"/>
      <c r="B478" s="1"/>
      <c r="C478" s="1"/>
      <c r="F478" s="1"/>
      <c r="L478" s="1"/>
      <c r="M478" s="1"/>
      <c r="N478" s="1"/>
    </row>
    <row r="479" spans="1:14" x14ac:dyDescent="0.25">
      <c r="A479" s="1"/>
      <c r="B479" s="1"/>
      <c r="C479" s="1"/>
      <c r="F479" s="1"/>
      <c r="L479" s="1"/>
      <c r="M479" s="1"/>
      <c r="N479" s="1"/>
    </row>
    <row r="480" spans="1:14" x14ac:dyDescent="0.25">
      <c r="A480" s="1"/>
      <c r="B480" s="1"/>
      <c r="C480" s="1"/>
      <c r="F480" s="1"/>
      <c r="L480" s="1"/>
      <c r="M480" s="1"/>
      <c r="N480" s="1"/>
    </row>
    <row r="481" spans="1:14" x14ac:dyDescent="0.25">
      <c r="A481" s="1"/>
      <c r="B481" s="1"/>
      <c r="C481" s="1"/>
      <c r="F481" s="1"/>
      <c r="L481" s="1"/>
      <c r="M481" s="1"/>
      <c r="N481" s="1"/>
    </row>
    <row r="482" spans="1:14" x14ac:dyDescent="0.25">
      <c r="A482" s="1"/>
      <c r="B482" s="1"/>
      <c r="C482" s="1"/>
      <c r="F482" s="1"/>
      <c r="L482" s="1"/>
      <c r="M482" s="1"/>
      <c r="N482" s="1"/>
    </row>
    <row r="483" spans="1:14" x14ac:dyDescent="0.25">
      <c r="A483" s="1"/>
      <c r="B483" s="1"/>
      <c r="C483" s="1"/>
      <c r="F483" s="1"/>
      <c r="L483" s="1"/>
      <c r="M483" s="1"/>
      <c r="N483" s="1"/>
    </row>
    <row r="484" spans="1:14" x14ac:dyDescent="0.25">
      <c r="A484" s="1"/>
      <c r="B484" s="1"/>
      <c r="C484" s="1"/>
      <c r="F484" s="1"/>
      <c r="L484" s="1"/>
      <c r="M484" s="1"/>
      <c r="N484" s="1"/>
    </row>
    <row r="485" spans="1:14" x14ac:dyDescent="0.25">
      <c r="A485" s="1"/>
      <c r="B485" s="1"/>
      <c r="C485" s="1"/>
      <c r="F485" s="1"/>
      <c r="L485" s="1"/>
      <c r="M485" s="1"/>
      <c r="N485" s="1"/>
    </row>
    <row r="486" spans="1:14" x14ac:dyDescent="0.25">
      <c r="A486" s="1"/>
      <c r="B486" s="1"/>
      <c r="C486" s="1"/>
      <c r="F486" s="1"/>
      <c r="L486" s="1"/>
      <c r="M486" s="1"/>
      <c r="N486" s="1"/>
    </row>
    <row r="487" spans="1:14" x14ac:dyDescent="0.25">
      <c r="A487" s="1"/>
      <c r="B487" s="1"/>
      <c r="C487" s="1"/>
      <c r="F487" s="1"/>
      <c r="L487" s="1"/>
      <c r="M487" s="1"/>
      <c r="N487" s="1"/>
    </row>
    <row r="488" spans="1:14" x14ac:dyDescent="0.25">
      <c r="A488" s="1"/>
      <c r="B488" s="1"/>
      <c r="C488" s="1"/>
      <c r="F488" s="1"/>
      <c r="L488" s="1"/>
      <c r="M488" s="1"/>
      <c r="N488" s="1"/>
    </row>
    <row r="489" spans="1:14" x14ac:dyDescent="0.25">
      <c r="A489" s="1"/>
      <c r="B489" s="1"/>
      <c r="C489" s="1"/>
      <c r="F489" s="1"/>
      <c r="L489" s="1"/>
      <c r="M489" s="1"/>
      <c r="N489" s="1"/>
    </row>
    <row r="490" spans="1:14" x14ac:dyDescent="0.25">
      <c r="A490" s="1"/>
      <c r="B490" s="1"/>
      <c r="C490" s="1"/>
      <c r="F490" s="1"/>
      <c r="L490" s="1"/>
      <c r="M490" s="1"/>
      <c r="N490" s="1"/>
    </row>
    <row r="491" spans="1:14" x14ac:dyDescent="0.25">
      <c r="A491" s="1"/>
      <c r="B491" s="1"/>
      <c r="C491" s="1"/>
      <c r="F491" s="1"/>
      <c r="L491" s="1"/>
      <c r="M491" s="1"/>
      <c r="N491" s="1"/>
    </row>
    <row r="492" spans="1:14" x14ac:dyDescent="0.25">
      <c r="A492" s="1"/>
      <c r="B492" s="1"/>
      <c r="C492" s="1"/>
      <c r="F492" s="1"/>
      <c r="L492" s="1"/>
      <c r="M492" s="1"/>
      <c r="N492" s="1"/>
    </row>
    <row r="493" spans="1:14" x14ac:dyDescent="0.25">
      <c r="A493" s="1"/>
      <c r="B493" s="1"/>
      <c r="C493" s="1"/>
      <c r="F493" s="1"/>
      <c r="L493" s="1"/>
      <c r="M493" s="1"/>
      <c r="N493" s="1"/>
    </row>
    <row r="494" spans="1:14" x14ac:dyDescent="0.25">
      <c r="A494" s="1"/>
      <c r="B494" s="1"/>
      <c r="C494" s="1"/>
      <c r="F494" s="1"/>
      <c r="L494" s="1"/>
      <c r="M494" s="1"/>
      <c r="N494" s="1"/>
    </row>
    <row r="495" spans="1:14" x14ac:dyDescent="0.25">
      <c r="A495" s="1"/>
      <c r="B495" s="1"/>
      <c r="C495" s="1"/>
      <c r="F495" s="1"/>
      <c r="L495" s="1"/>
      <c r="M495" s="1"/>
      <c r="N495" s="1"/>
    </row>
    <row r="496" spans="1:14" x14ac:dyDescent="0.25">
      <c r="A496" s="1"/>
      <c r="B496" s="1"/>
      <c r="C496" s="1"/>
      <c r="F496" s="1"/>
      <c r="L496" s="1"/>
      <c r="M496" s="1"/>
      <c r="N496" s="1"/>
    </row>
    <row r="497" spans="1:14" x14ac:dyDescent="0.25">
      <c r="A497" s="1"/>
      <c r="B497" s="1"/>
      <c r="C497" s="1"/>
      <c r="F497" s="1"/>
      <c r="L497" s="1"/>
      <c r="M497" s="1"/>
      <c r="N497" s="1"/>
    </row>
    <row r="498" spans="1:14" x14ac:dyDescent="0.25">
      <c r="A498" s="1"/>
      <c r="B498" s="1"/>
      <c r="C498" s="1"/>
      <c r="F498" s="1"/>
      <c r="L498" s="1"/>
      <c r="M498" s="1"/>
      <c r="N498" s="1"/>
    </row>
    <row r="499" spans="1:14" x14ac:dyDescent="0.25">
      <c r="A499" s="1"/>
      <c r="B499" s="1"/>
      <c r="C499" s="1"/>
      <c r="F499" s="1"/>
      <c r="L499" s="1"/>
      <c r="M499" s="1"/>
      <c r="N499" s="1"/>
    </row>
    <row r="500" spans="1:14" x14ac:dyDescent="0.25">
      <c r="A500" s="1"/>
      <c r="B500" s="1"/>
      <c r="C500" s="1"/>
      <c r="F500" s="1"/>
      <c r="L500" s="1"/>
      <c r="M500" s="1"/>
      <c r="N500" s="1"/>
    </row>
    <row r="501" spans="1:14" x14ac:dyDescent="0.25">
      <c r="A501" s="1"/>
      <c r="B501" s="1"/>
      <c r="C501" s="1"/>
      <c r="F501" s="1"/>
      <c r="L501" s="1"/>
      <c r="M501" s="1"/>
      <c r="N501" s="1"/>
    </row>
    <row r="502" spans="1:14" x14ac:dyDescent="0.25">
      <c r="A502" s="1"/>
      <c r="B502" s="1"/>
      <c r="C502" s="1"/>
      <c r="F502" s="1"/>
      <c r="L502" s="1"/>
      <c r="M502" s="1"/>
      <c r="N502" s="1"/>
    </row>
    <row r="503" spans="1:14" x14ac:dyDescent="0.25">
      <c r="A503" s="1"/>
      <c r="B503" s="1"/>
      <c r="C503" s="1"/>
      <c r="F503" s="1"/>
      <c r="L503" s="1"/>
      <c r="M503" s="1"/>
      <c r="N503" s="1"/>
    </row>
    <row r="504" spans="1:14" x14ac:dyDescent="0.25">
      <c r="A504" s="1"/>
      <c r="B504" s="1"/>
      <c r="C504" s="1"/>
      <c r="F504" s="1"/>
      <c r="L504" s="1"/>
      <c r="M504" s="1"/>
      <c r="N504" s="1"/>
    </row>
    <row r="505" spans="1:14" x14ac:dyDescent="0.25">
      <c r="A505" s="1"/>
      <c r="B505" s="1"/>
      <c r="C505" s="1"/>
      <c r="F505" s="1"/>
      <c r="L505" s="1"/>
      <c r="M505" s="1"/>
      <c r="N505" s="1"/>
    </row>
    <row r="506" spans="1:14" x14ac:dyDescent="0.25">
      <c r="A506" s="1"/>
      <c r="B506" s="1"/>
      <c r="C506" s="1"/>
      <c r="F506" s="1"/>
      <c r="L506" s="1"/>
      <c r="M506" s="1"/>
      <c r="N506" s="1"/>
    </row>
    <row r="507" spans="1:14" x14ac:dyDescent="0.25">
      <c r="A507" s="1"/>
      <c r="B507" s="1"/>
      <c r="C507" s="1"/>
      <c r="F507" s="1"/>
      <c r="L507" s="1"/>
      <c r="M507" s="1"/>
      <c r="N507" s="1"/>
    </row>
    <row r="508" spans="1:14" x14ac:dyDescent="0.25">
      <c r="A508" s="1"/>
      <c r="B508" s="1"/>
      <c r="C508" s="1"/>
      <c r="F508" s="1"/>
      <c r="L508" s="1"/>
      <c r="M508" s="1"/>
      <c r="N508" s="1"/>
    </row>
    <row r="509" spans="1:14" x14ac:dyDescent="0.25">
      <c r="A509" s="1"/>
      <c r="B509" s="1"/>
      <c r="C509" s="1"/>
      <c r="F509" s="1"/>
      <c r="L509" s="1"/>
      <c r="M509" s="1"/>
      <c r="N509" s="1"/>
    </row>
    <row r="510" spans="1:14" x14ac:dyDescent="0.25">
      <c r="A510" s="1"/>
      <c r="B510" s="1"/>
      <c r="C510" s="1"/>
      <c r="F510" s="1"/>
      <c r="L510" s="1"/>
      <c r="M510" s="1"/>
      <c r="N510" s="1"/>
    </row>
    <row r="511" spans="1:14" x14ac:dyDescent="0.25">
      <c r="A511" s="1"/>
      <c r="B511" s="1"/>
      <c r="C511" s="1"/>
      <c r="F511" s="1"/>
      <c r="L511" s="1"/>
      <c r="M511" s="1"/>
      <c r="N511" s="1"/>
    </row>
    <row r="512" spans="1:14" x14ac:dyDescent="0.25">
      <c r="A512" s="1"/>
      <c r="B512" s="1"/>
      <c r="C512" s="1"/>
      <c r="F512" s="1"/>
      <c r="L512" s="1"/>
      <c r="M512" s="1"/>
      <c r="N512" s="1"/>
    </row>
    <row r="513" spans="1:14" x14ac:dyDescent="0.25">
      <c r="A513" s="1"/>
      <c r="B513" s="1"/>
      <c r="C513" s="1"/>
      <c r="F513" s="1"/>
      <c r="L513" s="1"/>
      <c r="M513" s="1"/>
      <c r="N513" s="1"/>
    </row>
    <row r="514" spans="1:14" x14ac:dyDescent="0.25">
      <c r="A514" s="1"/>
      <c r="B514" s="1"/>
      <c r="C514" s="1"/>
      <c r="F514" s="1"/>
      <c r="L514" s="1"/>
      <c r="M514" s="1"/>
      <c r="N514" s="1"/>
    </row>
    <row r="515" spans="1:14" x14ac:dyDescent="0.25">
      <c r="A515" s="1"/>
      <c r="B515" s="1"/>
      <c r="C515" s="1"/>
      <c r="F515" s="1"/>
      <c r="L515" s="1"/>
      <c r="M515" s="1"/>
      <c r="N515" s="1"/>
    </row>
    <row r="516" spans="1:14" x14ac:dyDescent="0.25">
      <c r="A516" s="1"/>
      <c r="B516" s="1"/>
      <c r="C516" s="1"/>
      <c r="F516" s="1"/>
      <c r="L516" s="1"/>
      <c r="M516" s="1"/>
      <c r="N516" s="1"/>
    </row>
    <row r="517" spans="1:14" x14ac:dyDescent="0.25">
      <c r="A517" s="1"/>
      <c r="B517" s="1"/>
      <c r="C517" s="1"/>
      <c r="F517" s="1"/>
      <c r="L517" s="1"/>
      <c r="M517" s="1"/>
      <c r="N517" s="1"/>
    </row>
    <row r="518" spans="1:14" x14ac:dyDescent="0.25">
      <c r="A518" s="1"/>
      <c r="B518" s="1"/>
      <c r="C518" s="1"/>
      <c r="F518" s="1"/>
      <c r="L518" s="1"/>
      <c r="M518" s="1"/>
      <c r="N518" s="1"/>
    </row>
    <row r="519" spans="1:14" x14ac:dyDescent="0.25">
      <c r="A519" s="1"/>
      <c r="B519" s="1"/>
      <c r="C519" s="1"/>
      <c r="F519" s="1"/>
      <c r="L519" s="1"/>
      <c r="M519" s="1"/>
      <c r="N519" s="1"/>
    </row>
    <row r="520" spans="1:14" x14ac:dyDescent="0.25">
      <c r="A520" s="1"/>
      <c r="B520" s="1"/>
      <c r="C520" s="1"/>
      <c r="F520" s="1"/>
      <c r="L520" s="1"/>
      <c r="M520" s="1"/>
      <c r="N520" s="1"/>
    </row>
    <row r="521" spans="1:14" x14ac:dyDescent="0.25">
      <c r="A521" s="1"/>
      <c r="B521" s="1"/>
      <c r="C521" s="1"/>
      <c r="F521" s="1"/>
      <c r="L521" s="1"/>
      <c r="M521" s="1"/>
      <c r="N521" s="1"/>
    </row>
    <row r="522" spans="1:14" x14ac:dyDescent="0.25">
      <c r="A522" s="1"/>
      <c r="B522" s="1"/>
      <c r="C522" s="1"/>
      <c r="F522" s="1"/>
      <c r="L522" s="1"/>
      <c r="M522" s="1"/>
      <c r="N522" s="1"/>
    </row>
    <row r="523" spans="1:14" x14ac:dyDescent="0.25">
      <c r="A523" s="1"/>
      <c r="B523" s="1"/>
      <c r="C523" s="1"/>
      <c r="F523" s="1"/>
      <c r="L523" s="1"/>
      <c r="M523" s="1"/>
      <c r="N523" s="1"/>
    </row>
    <row r="524" spans="1:14" x14ac:dyDescent="0.25">
      <c r="A524" s="1"/>
      <c r="B524" s="1"/>
      <c r="C524" s="1"/>
      <c r="F524" s="1"/>
      <c r="L524" s="1"/>
      <c r="M524" s="1"/>
      <c r="N524" s="1"/>
    </row>
    <row r="525" spans="1:14" x14ac:dyDescent="0.25">
      <c r="A525" s="1"/>
      <c r="B525" s="1"/>
      <c r="C525" s="1"/>
      <c r="F525" s="1"/>
      <c r="L525" s="1"/>
      <c r="M525" s="1"/>
      <c r="N525" s="1"/>
    </row>
    <row r="526" spans="1:14" x14ac:dyDescent="0.25">
      <c r="A526" s="1"/>
      <c r="B526" s="1"/>
      <c r="C526" s="1"/>
      <c r="F526" s="1"/>
      <c r="L526" s="1"/>
      <c r="M526" s="1"/>
      <c r="N526" s="1"/>
    </row>
    <row r="527" spans="1:14" x14ac:dyDescent="0.25">
      <c r="A527" s="1"/>
      <c r="B527" s="1"/>
      <c r="C527" s="1"/>
      <c r="F527" s="1"/>
      <c r="L527" s="1"/>
      <c r="M527" s="1"/>
      <c r="N527" s="1"/>
    </row>
    <row r="528" spans="1:14" x14ac:dyDescent="0.25">
      <c r="A528" s="1"/>
      <c r="B528" s="1"/>
      <c r="C528" s="1"/>
      <c r="F528" s="1"/>
      <c r="L528" s="1"/>
      <c r="M528" s="1"/>
      <c r="N528" s="1"/>
    </row>
    <row r="529" spans="1:14" x14ac:dyDescent="0.25">
      <c r="A529" s="1"/>
      <c r="B529" s="1"/>
      <c r="C529" s="1"/>
      <c r="F529" s="1"/>
      <c r="L529" s="1"/>
      <c r="M529" s="1"/>
      <c r="N529" s="1"/>
    </row>
    <row r="530" spans="1:14" x14ac:dyDescent="0.25">
      <c r="A530" s="1"/>
      <c r="B530" s="1"/>
      <c r="C530" s="1"/>
      <c r="F530" s="1"/>
      <c r="L530" s="1"/>
      <c r="M530" s="1"/>
      <c r="N530" s="1"/>
    </row>
    <row r="531" spans="1:14" x14ac:dyDescent="0.25">
      <c r="A531" s="1"/>
      <c r="B531" s="1"/>
      <c r="C531" s="1"/>
      <c r="F531" s="1"/>
      <c r="L531" s="1"/>
      <c r="M531" s="1"/>
      <c r="N531" s="1"/>
    </row>
    <row r="532" spans="1:14" x14ac:dyDescent="0.25">
      <c r="A532" s="1"/>
      <c r="B532" s="1"/>
      <c r="C532" s="1"/>
      <c r="F532" s="1"/>
      <c r="L532" s="1"/>
      <c r="M532" s="1"/>
      <c r="N532" s="1"/>
    </row>
    <row r="533" spans="1:14" x14ac:dyDescent="0.25">
      <c r="A533" s="1"/>
      <c r="B533" s="1"/>
      <c r="C533" s="1"/>
      <c r="F533" s="1"/>
      <c r="L533" s="1"/>
      <c r="M533" s="1"/>
      <c r="N533" s="1"/>
    </row>
    <row r="534" spans="1:14" x14ac:dyDescent="0.25">
      <c r="A534" s="1"/>
      <c r="B534" s="1"/>
      <c r="C534" s="1"/>
      <c r="F534" s="1"/>
      <c r="L534" s="1"/>
      <c r="M534" s="1"/>
      <c r="N534" s="1"/>
    </row>
    <row r="535" spans="1:14" x14ac:dyDescent="0.25">
      <c r="A535" s="1"/>
      <c r="B535" s="1"/>
      <c r="C535" s="1"/>
      <c r="F535" s="1"/>
      <c r="L535" s="1"/>
      <c r="M535" s="1"/>
      <c r="N535" s="1"/>
    </row>
    <row r="536" spans="1:14" x14ac:dyDescent="0.25">
      <c r="A536" s="1"/>
      <c r="B536" s="1"/>
      <c r="C536" s="1"/>
      <c r="F536" s="1"/>
      <c r="L536" s="1"/>
      <c r="M536" s="1"/>
      <c r="N536" s="1"/>
    </row>
    <row r="537" spans="1:14" x14ac:dyDescent="0.25">
      <c r="A537" s="1"/>
      <c r="B537" s="1"/>
      <c r="C537" s="1"/>
      <c r="F537" s="1"/>
      <c r="L537" s="1"/>
      <c r="M537" s="1"/>
      <c r="N537" s="1"/>
    </row>
    <row r="538" spans="1:14" x14ac:dyDescent="0.25">
      <c r="A538" s="1"/>
      <c r="B538" s="1"/>
      <c r="C538" s="1"/>
      <c r="F538" s="1"/>
      <c r="L538" s="1"/>
      <c r="M538" s="1"/>
      <c r="N538" s="1"/>
    </row>
    <row r="539" spans="1:14" x14ac:dyDescent="0.25">
      <c r="A539" s="1"/>
      <c r="B539" s="1"/>
      <c r="C539" s="1"/>
      <c r="F539" s="1"/>
      <c r="L539" s="1"/>
      <c r="M539" s="1"/>
      <c r="N539" s="1"/>
    </row>
    <row r="540" spans="1:14" x14ac:dyDescent="0.25">
      <c r="A540" s="1"/>
      <c r="B540" s="1"/>
      <c r="C540" s="1"/>
      <c r="F540" s="1"/>
      <c r="L540" s="1"/>
      <c r="M540" s="1"/>
      <c r="N540" s="1"/>
    </row>
    <row r="541" spans="1:14" x14ac:dyDescent="0.25">
      <c r="A541" s="1"/>
      <c r="B541" s="1"/>
      <c r="C541" s="1"/>
      <c r="F541" s="1"/>
      <c r="L541" s="1"/>
      <c r="M541" s="1"/>
      <c r="N541" s="1"/>
    </row>
    <row r="542" spans="1:14" x14ac:dyDescent="0.25">
      <c r="A542" s="1"/>
      <c r="B542" s="1"/>
      <c r="C542" s="1"/>
      <c r="F542" s="1"/>
      <c r="L542" s="1"/>
      <c r="M542" s="1"/>
      <c r="N542" s="1"/>
    </row>
    <row r="543" spans="1:14" x14ac:dyDescent="0.25">
      <c r="A543" s="1"/>
      <c r="B543" s="1"/>
      <c r="C543" s="1"/>
      <c r="F543" s="1"/>
      <c r="L543" s="1"/>
      <c r="M543" s="1"/>
      <c r="N543" s="1"/>
    </row>
    <row r="544" spans="1:14" x14ac:dyDescent="0.25">
      <c r="A544" s="1"/>
      <c r="B544" s="1"/>
      <c r="C544" s="1"/>
      <c r="F544" s="1"/>
      <c r="L544" s="1"/>
      <c r="M544" s="1"/>
      <c r="N544" s="1"/>
    </row>
    <row r="545" spans="1:14" x14ac:dyDescent="0.25">
      <c r="A545" s="1"/>
      <c r="B545" s="1"/>
      <c r="C545" s="1"/>
      <c r="F545" s="1"/>
      <c r="L545" s="1"/>
      <c r="M545" s="1"/>
      <c r="N545" s="1"/>
    </row>
  </sheetData>
  <dataValidations count="2">
    <dataValidation type="list" allowBlank="1" showInputMessage="1" showErrorMessage="1" promptTitle="mytitle" prompt="mymsg" sqref="B5" xr:uid="{68E8AAE9-1373-49DB-8AA3-EDF9F3197F75}">
      <formula1>Table_Name</formula1>
    </dataValidation>
    <dataValidation type="list" allowBlank="1" showInputMessage="1" showErrorMessage="1" sqref="B4" xr:uid="{331CF046-3645-4EDB-822E-B15738390488}">
      <formula1>Schema</formula1>
    </dataValidation>
  </dataValidations>
  <pageMargins left="0.7" right="0.7" top="0.75" bottom="0.75" header="0.3" footer="0.3"/>
  <pageSetup orientation="portrait" r:id="rId1"/>
  <tableParts count="2">
    <tablePart r:id="rId2"/>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E47B6E51-D573-4EE4-8C4B-597EF2FBE10D}">
          <x14:formula1>
            <xm:f>Servers!$A$2:$A$10</xm:f>
          </x14:formula1>
          <xm:sqref>B2</xm:sqref>
        </x14:dataValidation>
        <x14:dataValidation type="list" allowBlank="1" showInputMessage="1" showErrorMessage="1" xr:uid="{A2DCD66A-7D46-4684-8721-B255FEDC351B}">
          <x14:formula1>
            <xm:f>Databases!$A$2:$A$20</xm:f>
          </x14:formula1>
          <xm:sqref>B3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1BC5D0-CBE5-458E-8C8F-4D07BF49D5A2}">
  <dimension ref="A1:T1001"/>
  <sheetViews>
    <sheetView workbookViewId="0">
      <selection activeCell="D14" sqref="D14"/>
    </sheetView>
  </sheetViews>
  <sheetFormatPr defaultRowHeight="15" x14ac:dyDescent="0.25"/>
  <cols>
    <col min="1" max="1" width="19.7109375" bestFit="1" customWidth="1"/>
    <col min="2" max="2" width="41.140625" bestFit="1" customWidth="1"/>
    <col min="3" max="3" width="14.5703125" bestFit="1" customWidth="1"/>
    <col min="4" max="4" width="18.5703125" bestFit="1" customWidth="1"/>
    <col min="5" max="5" width="30.85546875" bestFit="1" customWidth="1"/>
    <col min="6" max="6" width="42.28515625" bestFit="1" customWidth="1"/>
    <col min="7" max="7" width="17.7109375" bestFit="1" customWidth="1"/>
    <col min="8" max="8" width="26" bestFit="1" customWidth="1"/>
    <col min="9" max="9" width="17.42578125" bestFit="1" customWidth="1"/>
    <col min="10" max="10" width="13.85546875" bestFit="1" customWidth="1"/>
    <col min="11" max="11" width="8.140625" bestFit="1" customWidth="1"/>
    <col min="12" max="12" width="7.7109375" bestFit="1" customWidth="1"/>
    <col min="13" max="13" width="22.7109375" bestFit="1" customWidth="1"/>
    <col min="14" max="14" width="16.5703125" bestFit="1" customWidth="1"/>
    <col min="15" max="15" width="17.85546875" bestFit="1" customWidth="1"/>
    <col min="16" max="16" width="16.7109375" bestFit="1" customWidth="1"/>
    <col min="17" max="17" width="16.140625" bestFit="1" customWidth="1"/>
    <col min="18" max="18" width="19.7109375" bestFit="1" customWidth="1"/>
    <col min="19" max="19" width="16" bestFit="1" customWidth="1"/>
    <col min="20" max="20" width="19.140625" bestFit="1" customWidth="1"/>
    <col min="21" max="21" width="8.85546875" bestFit="1" customWidth="1"/>
    <col min="22" max="22" width="17.7109375" bestFit="1" customWidth="1"/>
    <col min="23" max="23" width="19.28515625" bestFit="1" customWidth="1"/>
    <col min="24" max="24" width="28.42578125" bestFit="1" customWidth="1"/>
    <col min="25" max="25" width="13.7109375" bestFit="1" customWidth="1"/>
    <col min="26" max="26" width="81.140625" bestFit="1" customWidth="1"/>
    <col min="27" max="27" width="13.5703125" bestFit="1" customWidth="1"/>
    <col min="28" max="28" width="17.85546875" bestFit="1" customWidth="1"/>
    <col min="29" max="29" width="76" bestFit="1" customWidth="1"/>
    <col min="30" max="30" width="12.140625" bestFit="1" customWidth="1"/>
    <col min="31" max="31" width="72.140625" bestFit="1" customWidth="1"/>
    <col min="32" max="32" width="18" bestFit="1" customWidth="1"/>
    <col min="33" max="33" width="16" bestFit="1" customWidth="1"/>
    <col min="34" max="34" width="7.85546875" bestFit="1" customWidth="1"/>
    <col min="35" max="35" width="17.5703125" customWidth="1"/>
    <col min="36" max="36" width="10.42578125" bestFit="1" customWidth="1"/>
    <col min="37" max="37" width="13.140625" bestFit="1" customWidth="1"/>
    <col min="38" max="38" width="24.5703125" bestFit="1" customWidth="1"/>
    <col min="39" max="39" width="17.28515625" bestFit="1" customWidth="1"/>
    <col min="40" max="40" width="10.7109375" bestFit="1" customWidth="1"/>
    <col min="41" max="41" width="16.5703125" bestFit="1" customWidth="1"/>
    <col min="42" max="42" width="14" bestFit="1" customWidth="1"/>
    <col min="43" max="43" width="17.42578125" bestFit="1" customWidth="1"/>
    <col min="44" max="44" width="14.7109375" bestFit="1" customWidth="1"/>
    <col min="45" max="45" width="14.85546875" bestFit="1" customWidth="1"/>
    <col min="46" max="46" width="21.42578125" bestFit="1" customWidth="1"/>
    <col min="47" max="47" width="20.5703125" bestFit="1" customWidth="1"/>
    <col min="48" max="48" width="55.7109375" bestFit="1" customWidth="1"/>
    <col min="49" max="49" width="15.85546875" bestFit="1" customWidth="1"/>
    <col min="50" max="50" width="22.140625" bestFit="1" customWidth="1"/>
    <col min="51" max="51" width="44.5703125" bestFit="1" customWidth="1"/>
    <col min="52" max="52" width="27.42578125" bestFit="1" customWidth="1"/>
    <col min="53" max="53" width="15" bestFit="1" customWidth="1"/>
    <col min="54" max="54" width="19.28515625" bestFit="1" customWidth="1"/>
    <col min="55" max="55" width="14.5703125" bestFit="1" customWidth="1"/>
    <col min="56" max="56" width="38.7109375" bestFit="1" customWidth="1"/>
    <col min="57" max="57" width="13.28515625" bestFit="1" customWidth="1"/>
    <col min="58" max="58" width="18.140625" bestFit="1" customWidth="1"/>
    <col min="59" max="59" width="16" bestFit="1" customWidth="1"/>
    <col min="60" max="60" width="15.85546875" bestFit="1" customWidth="1"/>
    <col min="61" max="61" width="33.42578125" bestFit="1" customWidth="1"/>
    <col min="62" max="62" width="28.140625" bestFit="1" customWidth="1"/>
    <col min="63" max="63" width="24.85546875" bestFit="1" customWidth="1"/>
    <col min="64" max="64" width="22.42578125" bestFit="1" customWidth="1"/>
    <col min="65" max="66" width="24.140625" bestFit="1" customWidth="1"/>
    <col min="67" max="67" width="9.85546875" bestFit="1" customWidth="1"/>
    <col min="68" max="68" width="6.85546875" bestFit="1" customWidth="1"/>
    <col min="69" max="69" width="14" bestFit="1" customWidth="1"/>
    <col min="70" max="70" width="7.85546875" bestFit="1" customWidth="1"/>
    <col min="71" max="71" width="15.5703125" bestFit="1" customWidth="1"/>
    <col min="72" max="72" width="11.7109375" bestFit="1" customWidth="1"/>
    <col min="73" max="73" width="20.42578125" bestFit="1" customWidth="1"/>
    <col min="74" max="74" width="8.28515625" bestFit="1" customWidth="1"/>
    <col min="75" max="75" width="17.28515625" bestFit="1" customWidth="1"/>
    <col min="76" max="76" width="17.85546875" bestFit="1" customWidth="1"/>
    <col min="77" max="77" width="7.5703125" bestFit="1" customWidth="1"/>
    <col min="78" max="78" width="6.5703125" bestFit="1" customWidth="1"/>
    <col min="79" max="79" width="20.28515625" bestFit="1" customWidth="1"/>
    <col min="80" max="80" width="14.5703125" bestFit="1" customWidth="1"/>
    <col min="81" max="81" width="17.42578125" bestFit="1" customWidth="1"/>
    <col min="82" max="82" width="11.140625" bestFit="1" customWidth="1"/>
    <col min="83" max="83" width="12.28515625" bestFit="1" customWidth="1"/>
    <col min="84" max="84" width="15" bestFit="1" customWidth="1"/>
    <col min="85" max="85" width="22.5703125" bestFit="1" customWidth="1"/>
    <col min="86" max="86" width="13.85546875" bestFit="1" customWidth="1"/>
    <col min="87" max="87" width="17.85546875" bestFit="1" customWidth="1"/>
    <col min="88" max="88" width="12.5703125" bestFit="1" customWidth="1"/>
    <col min="89" max="89" width="13.85546875" bestFit="1" customWidth="1"/>
    <col min="90" max="90" width="12.28515625" bestFit="1" customWidth="1"/>
    <col min="91" max="91" width="21.7109375" bestFit="1" customWidth="1"/>
    <col min="92" max="92" width="20.140625" bestFit="1" customWidth="1"/>
    <col min="93" max="93" width="32.7109375" customWidth="1"/>
    <col min="94" max="94" width="32" customWidth="1"/>
    <col min="95" max="95" width="30.7109375" bestFit="1" customWidth="1"/>
    <col min="96" max="96" width="11.7109375" bestFit="1" customWidth="1"/>
    <col min="97" max="97" width="14.85546875" bestFit="1" customWidth="1"/>
    <col min="98" max="98" width="16.140625" bestFit="1" customWidth="1"/>
    <col min="99" max="99" width="28.5703125" bestFit="1" customWidth="1"/>
    <col min="100" max="100" width="22.5703125" bestFit="1" customWidth="1"/>
    <col min="101" max="101" width="15.85546875" bestFit="1" customWidth="1"/>
    <col min="102" max="102" width="22.140625" bestFit="1" customWidth="1"/>
    <col min="103" max="103" width="21.28515625" bestFit="1" customWidth="1"/>
    <col min="104" max="104" width="21.5703125" bestFit="1" customWidth="1"/>
    <col min="105" max="105" width="21.42578125" bestFit="1" customWidth="1"/>
    <col min="106" max="106" width="20.28515625" bestFit="1" customWidth="1"/>
    <col min="107" max="107" width="21.85546875" bestFit="1" customWidth="1"/>
    <col min="108" max="108" width="14.7109375" bestFit="1" customWidth="1"/>
    <col min="109" max="109" width="30.5703125" bestFit="1" customWidth="1"/>
    <col min="110" max="110" width="28.42578125" bestFit="1" customWidth="1"/>
    <col min="111" max="111" width="20.140625" bestFit="1" customWidth="1"/>
    <col min="112" max="112" width="26.85546875" bestFit="1" customWidth="1"/>
    <col min="113" max="113" width="24.85546875" bestFit="1" customWidth="1"/>
    <col min="114" max="114" width="18" bestFit="1" customWidth="1"/>
    <col min="115" max="115" width="21.42578125" bestFit="1" customWidth="1"/>
    <col min="116" max="116" width="22" bestFit="1" customWidth="1"/>
    <col min="117" max="117" width="21.5703125" bestFit="1" customWidth="1"/>
    <col min="118" max="118" width="17.85546875" bestFit="1" customWidth="1"/>
    <col min="119" max="119" width="19.7109375" bestFit="1" customWidth="1"/>
    <col min="120" max="120" width="17.42578125" bestFit="1" customWidth="1"/>
    <col min="121" max="121" width="81.140625" bestFit="1" customWidth="1"/>
    <col min="122" max="122" width="10.28515625" bestFit="1" customWidth="1"/>
    <col min="123" max="123" width="10.140625" bestFit="1" customWidth="1"/>
    <col min="124" max="124" width="22" bestFit="1" customWidth="1"/>
    <col min="125" max="125" width="24" bestFit="1" customWidth="1"/>
    <col min="126" max="126" width="12.42578125" bestFit="1" customWidth="1"/>
    <col min="127" max="127" width="13.85546875" bestFit="1" customWidth="1"/>
    <col min="128" max="128" width="32.28515625" bestFit="1" customWidth="1"/>
    <col min="129" max="129" width="13.140625" bestFit="1" customWidth="1"/>
    <col min="130" max="130" width="24.42578125" bestFit="1" customWidth="1"/>
    <col min="131" max="131" width="20" bestFit="1" customWidth="1"/>
    <col min="132" max="132" width="11.85546875" bestFit="1" customWidth="1"/>
    <col min="133" max="133" width="21" bestFit="1" customWidth="1"/>
    <col min="134" max="134" width="21.85546875" bestFit="1" customWidth="1"/>
    <col min="135" max="135" width="17.5703125" bestFit="1" customWidth="1"/>
    <col min="136" max="136" width="11" bestFit="1" customWidth="1"/>
    <col min="137" max="137" width="27.42578125" bestFit="1" customWidth="1"/>
    <col min="138" max="138" width="23.85546875" bestFit="1" customWidth="1"/>
    <col min="139" max="139" width="8.28515625" bestFit="1" customWidth="1"/>
    <col min="140" max="140" width="30.85546875" bestFit="1" customWidth="1"/>
    <col min="141" max="141" width="17.140625" bestFit="1" customWidth="1"/>
    <col min="142" max="142" width="12.7109375" bestFit="1" customWidth="1"/>
    <col min="143" max="143" width="33.7109375" bestFit="1" customWidth="1"/>
    <col min="144" max="144" width="37.28515625" bestFit="1" customWidth="1"/>
    <col min="145" max="145" width="40.28515625" bestFit="1" customWidth="1"/>
    <col min="146" max="146" width="18.5703125" bestFit="1" customWidth="1"/>
    <col min="147" max="147" width="14.42578125" bestFit="1" customWidth="1"/>
    <col min="148" max="148" width="50" customWidth="1"/>
    <col min="149" max="149" width="45.7109375" bestFit="1" customWidth="1"/>
    <col min="150" max="150" width="16" bestFit="1" customWidth="1"/>
    <col min="151" max="151" width="10.7109375" bestFit="1" customWidth="1"/>
    <col min="152" max="152" width="8.7109375" bestFit="1" customWidth="1"/>
    <col min="153" max="153" width="16.5703125" bestFit="1" customWidth="1"/>
    <col min="154" max="154" width="17.85546875" bestFit="1" customWidth="1"/>
    <col min="155" max="155" width="16.7109375" bestFit="1" customWidth="1"/>
    <col min="156" max="156" width="16.140625" bestFit="1" customWidth="1"/>
    <col min="157" max="157" width="9.42578125" bestFit="1" customWidth="1"/>
    <col min="158" max="158" width="11.85546875" bestFit="1" customWidth="1"/>
    <col min="159" max="159" width="11.28515625" bestFit="1" customWidth="1"/>
    <col min="160" max="160" width="14.28515625" bestFit="1" customWidth="1"/>
    <col min="161" max="161" width="13.28515625" bestFit="1" customWidth="1"/>
    <col min="162" max="162" width="7.85546875" bestFit="1" customWidth="1"/>
    <col min="163" max="163" width="11.5703125" bestFit="1" customWidth="1"/>
    <col min="164" max="164" width="16.5703125" bestFit="1" customWidth="1"/>
    <col min="165" max="165" width="17.85546875" bestFit="1" customWidth="1"/>
    <col min="166" max="166" width="16.7109375" bestFit="1" customWidth="1"/>
    <col min="167" max="167" width="16.140625" bestFit="1" customWidth="1"/>
    <col min="168" max="168" width="7" bestFit="1" customWidth="1"/>
    <col min="169" max="169" width="13.140625" bestFit="1" customWidth="1"/>
    <col min="170" max="170" width="12.5703125" bestFit="1" customWidth="1"/>
    <col min="171" max="171" width="23.28515625" bestFit="1" customWidth="1"/>
    <col min="172" max="172" width="18.140625" bestFit="1" customWidth="1"/>
    <col min="173" max="173" width="56.42578125" bestFit="1" customWidth="1"/>
  </cols>
  <sheetData>
    <row r="1" spans="1:20" x14ac:dyDescent="0.25">
      <c r="A1" t="s">
        <v>606</v>
      </c>
      <c r="B1" t="s">
        <v>608</v>
      </c>
      <c r="C1" t="s">
        <v>610</v>
      </c>
      <c r="D1" t="s">
        <v>611</v>
      </c>
      <c r="E1" t="s">
        <v>612</v>
      </c>
      <c r="F1" t="s">
        <v>613</v>
      </c>
      <c r="G1" t="s">
        <v>614</v>
      </c>
      <c r="H1" t="s">
        <v>615</v>
      </c>
      <c r="I1" t="s">
        <v>616</v>
      </c>
      <c r="J1" t="s">
        <v>617</v>
      </c>
      <c r="K1" t="s">
        <v>618</v>
      </c>
      <c r="L1" t="s">
        <v>620</v>
      </c>
      <c r="M1" t="s">
        <v>621</v>
      </c>
      <c r="N1" t="s">
        <v>622</v>
      </c>
      <c r="O1" t="s">
        <v>624</v>
      </c>
      <c r="P1" t="s">
        <v>625</v>
      </c>
      <c r="Q1" t="s">
        <v>626</v>
      </c>
      <c r="R1" t="s">
        <v>628</v>
      </c>
      <c r="S1" t="s">
        <v>629</v>
      </c>
      <c r="T1" t="s">
        <v>630</v>
      </c>
    </row>
    <row r="2" spans="1:20" x14ac:dyDescent="0.25">
      <c r="A2">
        <v>1</v>
      </c>
      <c r="B2" s="1" t="s">
        <v>631</v>
      </c>
      <c r="C2" s="1" t="s">
        <v>632</v>
      </c>
      <c r="D2" s="1" t="s">
        <v>633</v>
      </c>
      <c r="E2" s="1"/>
      <c r="F2" s="1"/>
      <c r="G2" s="1" t="s">
        <v>634</v>
      </c>
      <c r="H2" s="1" t="s">
        <v>635</v>
      </c>
      <c r="I2" s="1" t="s">
        <v>568</v>
      </c>
      <c r="J2" s="1" t="s">
        <v>636</v>
      </c>
      <c r="K2">
        <v>0</v>
      </c>
      <c r="L2">
        <v>1</v>
      </c>
      <c r="M2">
        <v>55</v>
      </c>
      <c r="N2" s="21">
        <v>44415.628849618057</v>
      </c>
      <c r="O2" s="21">
        <v>44415.628849618057</v>
      </c>
      <c r="P2" s="21"/>
      <c r="Q2">
        <v>0</v>
      </c>
      <c r="T2">
        <v>60</v>
      </c>
    </row>
    <row r="3" spans="1:20" x14ac:dyDescent="0.25">
      <c r="A3">
        <v>2</v>
      </c>
      <c r="B3" s="1" t="s">
        <v>637</v>
      </c>
      <c r="C3" s="1" t="s">
        <v>638</v>
      </c>
      <c r="D3" s="1" t="s">
        <v>639</v>
      </c>
      <c r="E3" s="1"/>
      <c r="F3" s="1"/>
      <c r="G3" s="1" t="s">
        <v>634</v>
      </c>
      <c r="H3" s="1" t="s">
        <v>640</v>
      </c>
      <c r="I3" s="1" t="s">
        <v>568</v>
      </c>
      <c r="J3" s="1" t="s">
        <v>641</v>
      </c>
      <c r="K3">
        <v>0</v>
      </c>
      <c r="L3">
        <v>1</v>
      </c>
      <c r="M3">
        <v>5477</v>
      </c>
      <c r="N3" s="21">
        <v>44415.628849618057</v>
      </c>
      <c r="O3" s="21">
        <v>44415.628849618057</v>
      </c>
      <c r="P3" s="21"/>
      <c r="Q3">
        <v>0</v>
      </c>
      <c r="T3">
        <v>60</v>
      </c>
    </row>
    <row r="4" spans="1:20" x14ac:dyDescent="0.25">
      <c r="A4">
        <v>3</v>
      </c>
      <c r="B4" s="1" t="s">
        <v>642</v>
      </c>
      <c r="C4" s="1"/>
      <c r="D4" s="1" t="s">
        <v>643</v>
      </c>
      <c r="E4" s="1"/>
      <c r="F4" s="1"/>
      <c r="G4" s="1" t="s">
        <v>644</v>
      </c>
      <c r="H4" s="1" t="s">
        <v>645</v>
      </c>
      <c r="I4" s="1"/>
      <c r="J4" s="1" t="s">
        <v>636</v>
      </c>
      <c r="K4">
        <v>0</v>
      </c>
      <c r="L4">
        <v>0</v>
      </c>
      <c r="N4" s="21">
        <v>44415.628849618057</v>
      </c>
      <c r="O4" s="21">
        <v>44415.628849618057</v>
      </c>
      <c r="P4" s="21"/>
      <c r="Q4">
        <v>0</v>
      </c>
      <c r="T4">
        <v>60</v>
      </c>
    </row>
    <row r="5" spans="1:20" x14ac:dyDescent="0.25">
      <c r="A5">
        <v>4</v>
      </c>
      <c r="B5" s="1" t="s">
        <v>646</v>
      </c>
      <c r="C5" s="1"/>
      <c r="D5" s="1" t="s">
        <v>647</v>
      </c>
      <c r="E5" s="1"/>
      <c r="F5" s="1"/>
      <c r="G5" s="1" t="s">
        <v>644</v>
      </c>
      <c r="H5" s="1" t="s">
        <v>648</v>
      </c>
      <c r="I5" s="1"/>
      <c r="J5" s="1" t="s">
        <v>641</v>
      </c>
      <c r="K5">
        <v>0</v>
      </c>
      <c r="L5">
        <v>0</v>
      </c>
      <c r="N5" s="21">
        <v>44415.628849618057</v>
      </c>
      <c r="O5" s="21">
        <v>44415.628849618057</v>
      </c>
      <c r="P5" s="21"/>
      <c r="Q5">
        <v>0</v>
      </c>
      <c r="T5">
        <v>60</v>
      </c>
    </row>
    <row r="6" spans="1:20" x14ac:dyDescent="0.25">
      <c r="A6">
        <v>5</v>
      </c>
      <c r="B6" s="1" t="s">
        <v>649</v>
      </c>
      <c r="C6" s="1"/>
      <c r="D6" s="1" t="s">
        <v>650</v>
      </c>
      <c r="E6" s="1"/>
      <c r="F6" s="1"/>
      <c r="G6" s="1" t="s">
        <v>644</v>
      </c>
      <c r="H6" s="1" t="s">
        <v>651</v>
      </c>
      <c r="I6" s="1" t="s">
        <v>568</v>
      </c>
      <c r="J6" s="1" t="s">
        <v>641</v>
      </c>
      <c r="K6">
        <v>0</v>
      </c>
      <c r="L6">
        <v>0</v>
      </c>
      <c r="N6" s="21">
        <v>44415.628849618057</v>
      </c>
      <c r="O6" s="21">
        <v>44415.628849618057</v>
      </c>
      <c r="P6" s="21"/>
      <c r="Q6">
        <v>0</v>
      </c>
      <c r="T6">
        <v>60</v>
      </c>
    </row>
    <row r="7" spans="1:20" x14ac:dyDescent="0.25">
      <c r="A7">
        <v>6</v>
      </c>
      <c r="B7" s="1" t="s">
        <v>652</v>
      </c>
      <c r="C7" s="1" t="s">
        <v>653</v>
      </c>
      <c r="D7" s="1" t="s">
        <v>654</v>
      </c>
      <c r="E7" s="1"/>
      <c r="F7" s="1"/>
      <c r="G7" s="1" t="s">
        <v>644</v>
      </c>
      <c r="H7" s="1" t="s">
        <v>655</v>
      </c>
      <c r="I7" s="1" t="s">
        <v>568</v>
      </c>
      <c r="J7" s="1" t="s">
        <v>636</v>
      </c>
      <c r="K7">
        <v>0</v>
      </c>
      <c r="L7">
        <v>1</v>
      </c>
      <c r="M7">
        <v>3754</v>
      </c>
      <c r="N7" s="21">
        <v>44415.628849618057</v>
      </c>
      <c r="O7" s="21">
        <v>44415.628849618057</v>
      </c>
      <c r="P7" s="21"/>
      <c r="Q7">
        <v>0</v>
      </c>
      <c r="T7">
        <v>60</v>
      </c>
    </row>
    <row r="8" spans="1:20" x14ac:dyDescent="0.25">
      <c r="A8">
        <v>7</v>
      </c>
      <c r="B8" s="1" t="s">
        <v>656</v>
      </c>
      <c r="C8" s="1" t="s">
        <v>657</v>
      </c>
      <c r="D8" s="1" t="s">
        <v>658</v>
      </c>
      <c r="E8" s="1"/>
      <c r="F8" s="1"/>
      <c r="G8" s="1" t="s">
        <v>634</v>
      </c>
      <c r="H8" s="1" t="s">
        <v>659</v>
      </c>
      <c r="I8" s="1"/>
      <c r="J8" s="1" t="s">
        <v>641</v>
      </c>
      <c r="K8">
        <v>0</v>
      </c>
      <c r="L8">
        <v>1</v>
      </c>
      <c r="M8">
        <v>5032</v>
      </c>
      <c r="N8" s="21">
        <v>44415.628849618057</v>
      </c>
      <c r="O8" s="21">
        <v>44415.628849618057</v>
      </c>
      <c r="P8" s="21"/>
      <c r="Q8">
        <v>0</v>
      </c>
      <c r="T8">
        <v>60</v>
      </c>
    </row>
    <row r="9" spans="1:20" x14ac:dyDescent="0.25">
      <c r="A9">
        <v>8</v>
      </c>
      <c r="B9" s="1" t="s">
        <v>660</v>
      </c>
      <c r="C9" s="1" t="s">
        <v>661</v>
      </c>
      <c r="D9" s="1" t="s">
        <v>662</v>
      </c>
      <c r="E9" s="1"/>
      <c r="F9" s="1"/>
      <c r="G9" s="1" t="s">
        <v>644</v>
      </c>
      <c r="H9" s="1" t="s">
        <v>663</v>
      </c>
      <c r="I9" s="1" t="s">
        <v>568</v>
      </c>
      <c r="J9" s="1" t="s">
        <v>641</v>
      </c>
      <c r="K9">
        <v>0</v>
      </c>
      <c r="L9">
        <v>1</v>
      </c>
      <c r="M9">
        <v>5519</v>
      </c>
      <c r="N9" s="21">
        <v>44415.628849618057</v>
      </c>
      <c r="O9" s="21">
        <v>44415.628849618057</v>
      </c>
      <c r="P9" s="21"/>
      <c r="Q9">
        <v>0</v>
      </c>
      <c r="T9">
        <v>60</v>
      </c>
    </row>
    <row r="10" spans="1:20" x14ac:dyDescent="0.25">
      <c r="A10">
        <v>9</v>
      </c>
      <c r="B10" s="1" t="s">
        <v>664</v>
      </c>
      <c r="C10" s="1"/>
      <c r="D10" s="1" t="s">
        <v>665</v>
      </c>
      <c r="E10" s="1"/>
      <c r="F10" s="1"/>
      <c r="G10" s="1" t="s">
        <v>644</v>
      </c>
      <c r="H10" s="1" t="s">
        <v>666</v>
      </c>
      <c r="I10" s="1"/>
      <c r="J10" s="1"/>
      <c r="K10">
        <v>0</v>
      </c>
      <c r="L10">
        <v>0</v>
      </c>
      <c r="N10" s="21">
        <v>44415.628849618057</v>
      </c>
      <c r="O10" s="21">
        <v>44415.628849618057</v>
      </c>
      <c r="P10" s="21"/>
      <c r="Q10">
        <v>0</v>
      </c>
      <c r="T10">
        <v>60</v>
      </c>
    </row>
    <row r="11" spans="1:20" x14ac:dyDescent="0.25">
      <c r="A11">
        <v>10</v>
      </c>
      <c r="B11" s="1" t="s">
        <v>667</v>
      </c>
      <c r="C11" s="1" t="s">
        <v>668</v>
      </c>
      <c r="D11" s="1" t="s">
        <v>669</v>
      </c>
      <c r="E11" s="1"/>
      <c r="F11" s="1"/>
      <c r="G11" s="1" t="s">
        <v>634</v>
      </c>
      <c r="H11" s="1" t="s">
        <v>670</v>
      </c>
      <c r="I11" s="1" t="s">
        <v>568</v>
      </c>
      <c r="J11" s="1" t="s">
        <v>641</v>
      </c>
      <c r="K11">
        <v>0</v>
      </c>
      <c r="L11">
        <v>1</v>
      </c>
      <c r="M11">
        <v>19</v>
      </c>
      <c r="N11" s="21">
        <v>44415.628849618057</v>
      </c>
      <c r="O11" s="21">
        <v>44415.628849618057</v>
      </c>
      <c r="P11" s="21"/>
      <c r="Q11">
        <v>0</v>
      </c>
      <c r="T11">
        <v>60</v>
      </c>
    </row>
    <row r="12" spans="1:20" x14ac:dyDescent="0.25">
      <c r="A12">
        <v>11</v>
      </c>
      <c r="B12" s="1" t="s">
        <v>671</v>
      </c>
      <c r="C12" s="1" t="s">
        <v>672</v>
      </c>
      <c r="D12" s="1" t="s">
        <v>673</v>
      </c>
      <c r="E12" s="1"/>
      <c r="F12" s="1"/>
      <c r="G12" s="1" t="s">
        <v>634</v>
      </c>
      <c r="H12" s="1" t="s">
        <v>674</v>
      </c>
      <c r="I12" s="1" t="s">
        <v>675</v>
      </c>
      <c r="J12" s="1" t="s">
        <v>641</v>
      </c>
      <c r="K12">
        <v>0</v>
      </c>
      <c r="L12">
        <v>1</v>
      </c>
      <c r="M12">
        <v>4</v>
      </c>
      <c r="N12" s="21">
        <v>44415.628849618057</v>
      </c>
      <c r="O12" s="21">
        <v>44415.628849618057</v>
      </c>
      <c r="P12" s="21"/>
      <c r="Q12">
        <v>0</v>
      </c>
      <c r="T12">
        <v>60</v>
      </c>
    </row>
    <row r="13" spans="1:20" x14ac:dyDescent="0.25">
      <c r="A13">
        <v>12</v>
      </c>
      <c r="B13" s="1" t="s">
        <v>676</v>
      </c>
      <c r="C13" s="1"/>
      <c r="D13" s="1" t="s">
        <v>677</v>
      </c>
      <c r="E13" s="1"/>
      <c r="F13" s="1"/>
      <c r="G13" s="1"/>
      <c r="H13" s="1" t="s">
        <v>678</v>
      </c>
      <c r="I13" s="1"/>
      <c r="J13" s="1"/>
      <c r="K13">
        <v>0</v>
      </c>
      <c r="L13">
        <v>0</v>
      </c>
      <c r="N13" s="21">
        <v>44415.628849618057</v>
      </c>
      <c r="O13" s="21">
        <v>44415.628849618057</v>
      </c>
      <c r="P13" s="21"/>
      <c r="Q13">
        <v>0</v>
      </c>
      <c r="T13">
        <v>60</v>
      </c>
    </row>
    <row r="14" spans="1:20" x14ac:dyDescent="0.25">
      <c r="A14">
        <v>13</v>
      </c>
      <c r="B14" s="1" t="s">
        <v>679</v>
      </c>
      <c r="C14" s="1" t="s">
        <v>680</v>
      </c>
      <c r="D14" s="1" t="s">
        <v>681</v>
      </c>
      <c r="E14" s="1"/>
      <c r="F14" s="1"/>
      <c r="G14" s="1" t="s">
        <v>634</v>
      </c>
      <c r="H14" s="1" t="s">
        <v>682</v>
      </c>
      <c r="I14" s="1" t="s">
        <v>568</v>
      </c>
      <c r="J14" s="1" t="s">
        <v>641</v>
      </c>
      <c r="K14">
        <v>0</v>
      </c>
      <c r="L14">
        <v>1</v>
      </c>
      <c r="M14">
        <v>5257</v>
      </c>
      <c r="N14" s="21">
        <v>44415.628849618057</v>
      </c>
      <c r="O14" s="21">
        <v>44415.628849618057</v>
      </c>
      <c r="P14" s="21"/>
      <c r="Q14">
        <v>0</v>
      </c>
      <c r="T14">
        <v>60</v>
      </c>
    </row>
    <row r="15" spans="1:20" x14ac:dyDescent="0.25">
      <c r="A15">
        <v>14</v>
      </c>
      <c r="B15" s="1" t="s">
        <v>683</v>
      </c>
      <c r="C15" s="1"/>
      <c r="D15" s="1" t="s">
        <v>684</v>
      </c>
      <c r="E15" s="1"/>
      <c r="F15" s="1"/>
      <c r="G15" s="1" t="s">
        <v>634</v>
      </c>
      <c r="H15" s="1" t="s">
        <v>685</v>
      </c>
      <c r="I15" s="1" t="s">
        <v>568</v>
      </c>
      <c r="J15" s="1" t="s">
        <v>641</v>
      </c>
      <c r="K15">
        <v>0</v>
      </c>
      <c r="L15">
        <v>0</v>
      </c>
      <c r="N15" s="21">
        <v>44415.628849618057</v>
      </c>
      <c r="O15" s="21">
        <v>44415.628849618057</v>
      </c>
      <c r="P15" s="21"/>
      <c r="Q15">
        <v>0</v>
      </c>
      <c r="T15">
        <v>60</v>
      </c>
    </row>
    <row r="16" spans="1:20" x14ac:dyDescent="0.25">
      <c r="A16">
        <v>15</v>
      </c>
      <c r="B16" s="1" t="s">
        <v>686</v>
      </c>
      <c r="C16" s="1" t="s">
        <v>687</v>
      </c>
      <c r="D16" s="1" t="s">
        <v>688</v>
      </c>
      <c r="E16" s="1"/>
      <c r="F16" s="1"/>
      <c r="G16" s="1" t="s">
        <v>634</v>
      </c>
      <c r="H16" s="1" t="s">
        <v>689</v>
      </c>
      <c r="I16" s="1" t="s">
        <v>690</v>
      </c>
      <c r="J16" s="1" t="s">
        <v>691</v>
      </c>
      <c r="K16">
        <v>0</v>
      </c>
      <c r="L16">
        <v>1</v>
      </c>
      <c r="M16">
        <v>34</v>
      </c>
      <c r="N16" s="21">
        <v>44415.628849618057</v>
      </c>
      <c r="O16" s="21">
        <v>44415.628849618057</v>
      </c>
      <c r="P16" s="21"/>
      <c r="Q16">
        <v>0</v>
      </c>
      <c r="T16">
        <v>60</v>
      </c>
    </row>
    <row r="17" spans="1:20" x14ac:dyDescent="0.25">
      <c r="A17">
        <v>16</v>
      </c>
      <c r="B17" s="1" t="s">
        <v>692</v>
      </c>
      <c r="C17" s="1"/>
      <c r="D17" s="1" t="s">
        <v>693</v>
      </c>
      <c r="E17" s="1"/>
      <c r="F17" s="1"/>
      <c r="G17" s="1"/>
      <c r="H17" s="1" t="s">
        <v>694</v>
      </c>
      <c r="I17" s="1"/>
      <c r="J17" s="1"/>
      <c r="K17">
        <v>0</v>
      </c>
      <c r="L17">
        <v>0</v>
      </c>
      <c r="N17" s="21">
        <v>44415.628849618057</v>
      </c>
      <c r="O17" s="21">
        <v>44415.628849618057</v>
      </c>
      <c r="P17" s="21"/>
      <c r="Q17">
        <v>0</v>
      </c>
      <c r="T17">
        <v>60</v>
      </c>
    </row>
    <row r="18" spans="1:20" x14ac:dyDescent="0.25">
      <c r="A18">
        <v>17</v>
      </c>
      <c r="B18" s="1" t="s">
        <v>695</v>
      </c>
      <c r="C18" s="1"/>
      <c r="D18" s="1" t="s">
        <v>696</v>
      </c>
      <c r="E18" s="1"/>
      <c r="F18" s="1"/>
      <c r="G18" s="1" t="s">
        <v>644</v>
      </c>
      <c r="H18" s="1" t="s">
        <v>697</v>
      </c>
      <c r="I18" s="1"/>
      <c r="J18" s="1"/>
      <c r="K18">
        <v>0</v>
      </c>
      <c r="L18">
        <v>0</v>
      </c>
      <c r="N18" s="21">
        <v>44415.628849618057</v>
      </c>
      <c r="O18" s="21">
        <v>44415.628849618057</v>
      </c>
      <c r="P18" s="21"/>
      <c r="Q18">
        <v>0</v>
      </c>
      <c r="T18">
        <v>60</v>
      </c>
    </row>
    <row r="19" spans="1:20" x14ac:dyDescent="0.25">
      <c r="A19">
        <v>18</v>
      </c>
      <c r="B19" s="1" t="s">
        <v>698</v>
      </c>
      <c r="C19" s="1"/>
      <c r="D19" s="1" t="s">
        <v>699</v>
      </c>
      <c r="E19" s="1"/>
      <c r="F19" s="1"/>
      <c r="G19" s="1" t="s">
        <v>634</v>
      </c>
      <c r="H19" s="1" t="s">
        <v>700</v>
      </c>
      <c r="I19" s="1" t="s">
        <v>701</v>
      </c>
      <c r="J19" s="1" t="s">
        <v>702</v>
      </c>
      <c r="K19">
        <v>0</v>
      </c>
      <c r="L19">
        <v>0</v>
      </c>
      <c r="N19" s="21">
        <v>44415.628849618057</v>
      </c>
      <c r="O19" s="21">
        <v>44415.628849618057</v>
      </c>
      <c r="P19" s="21"/>
      <c r="Q19">
        <v>0</v>
      </c>
      <c r="T19">
        <v>60</v>
      </c>
    </row>
    <row r="20" spans="1:20" x14ac:dyDescent="0.25">
      <c r="A20">
        <v>19</v>
      </c>
      <c r="B20" s="1" t="s">
        <v>703</v>
      </c>
      <c r="C20" s="1"/>
      <c r="D20" s="1" t="s">
        <v>704</v>
      </c>
      <c r="E20" s="1" t="s">
        <v>705</v>
      </c>
      <c r="F20" s="1"/>
      <c r="G20" s="1" t="s">
        <v>644</v>
      </c>
      <c r="H20" s="1" t="s">
        <v>706</v>
      </c>
      <c r="I20" s="1" t="s">
        <v>568</v>
      </c>
      <c r="J20" s="1"/>
      <c r="K20">
        <v>0</v>
      </c>
      <c r="L20">
        <v>0</v>
      </c>
      <c r="N20" s="21">
        <v>44415.628849618057</v>
      </c>
      <c r="O20" s="21">
        <v>44415.628849618057</v>
      </c>
      <c r="P20" s="21"/>
      <c r="Q20">
        <v>0</v>
      </c>
      <c r="T20">
        <v>60</v>
      </c>
    </row>
    <row r="21" spans="1:20" x14ac:dyDescent="0.25">
      <c r="A21">
        <v>20</v>
      </c>
      <c r="B21" s="1" t="s">
        <v>707</v>
      </c>
      <c r="C21" s="1" t="s">
        <v>708</v>
      </c>
      <c r="D21" s="1" t="s">
        <v>709</v>
      </c>
      <c r="E21" s="1"/>
      <c r="F21" s="1"/>
      <c r="G21" s="1" t="s">
        <v>644</v>
      </c>
      <c r="H21" s="1" t="s">
        <v>710</v>
      </c>
      <c r="I21" s="1" t="s">
        <v>690</v>
      </c>
      <c r="J21" s="1" t="s">
        <v>641</v>
      </c>
      <c r="K21">
        <v>0</v>
      </c>
      <c r="L21">
        <v>1</v>
      </c>
      <c r="M21">
        <v>4355</v>
      </c>
      <c r="N21" s="21">
        <v>44415.628849618057</v>
      </c>
      <c r="O21" s="21">
        <v>44415.628849618057</v>
      </c>
      <c r="P21" s="21"/>
      <c r="Q21">
        <v>0</v>
      </c>
      <c r="T21">
        <v>60</v>
      </c>
    </row>
    <row r="22" spans="1:20" x14ac:dyDescent="0.25">
      <c r="A22">
        <v>21</v>
      </c>
      <c r="B22" s="1" t="s">
        <v>711</v>
      </c>
      <c r="C22" s="1"/>
      <c r="D22" s="1" t="s">
        <v>712</v>
      </c>
      <c r="E22" s="1"/>
      <c r="F22" s="1"/>
      <c r="G22" s="1" t="s">
        <v>713</v>
      </c>
      <c r="H22" s="1" t="s">
        <v>714</v>
      </c>
      <c r="I22" s="1"/>
      <c r="J22" s="1"/>
      <c r="K22">
        <v>0</v>
      </c>
      <c r="L22">
        <v>0</v>
      </c>
      <c r="N22" s="21">
        <v>44415.628849618057</v>
      </c>
      <c r="O22" s="21">
        <v>44415.628849618057</v>
      </c>
      <c r="P22" s="21"/>
      <c r="Q22">
        <v>0</v>
      </c>
      <c r="T22">
        <v>60</v>
      </c>
    </row>
    <row r="23" spans="1:20" x14ac:dyDescent="0.25">
      <c r="A23">
        <v>22</v>
      </c>
      <c r="B23" s="1" t="s">
        <v>715</v>
      </c>
      <c r="C23" s="1"/>
      <c r="D23" s="1" t="s">
        <v>716</v>
      </c>
      <c r="E23" s="1"/>
      <c r="F23" s="1"/>
      <c r="G23" s="1" t="s">
        <v>634</v>
      </c>
      <c r="H23" s="1" t="s">
        <v>717</v>
      </c>
      <c r="I23" s="1"/>
      <c r="J23" s="1"/>
      <c r="K23">
        <v>0</v>
      </c>
      <c r="L23">
        <v>0</v>
      </c>
      <c r="N23" s="21">
        <v>44415.628849618057</v>
      </c>
      <c r="O23" s="21">
        <v>44415.628849618057</v>
      </c>
      <c r="P23" s="21"/>
      <c r="Q23">
        <v>0</v>
      </c>
      <c r="T23">
        <v>60</v>
      </c>
    </row>
    <row r="24" spans="1:20" x14ac:dyDescent="0.25">
      <c r="A24">
        <v>23</v>
      </c>
      <c r="B24" s="1" t="s">
        <v>718</v>
      </c>
      <c r="C24" s="1"/>
      <c r="D24" s="1" t="s">
        <v>719</v>
      </c>
      <c r="E24" s="1"/>
      <c r="F24" s="1"/>
      <c r="G24" s="1" t="s">
        <v>634</v>
      </c>
      <c r="H24" s="1" t="s">
        <v>720</v>
      </c>
      <c r="I24" s="1"/>
      <c r="J24" s="1"/>
      <c r="K24">
        <v>0</v>
      </c>
      <c r="L24">
        <v>0</v>
      </c>
      <c r="N24" s="21">
        <v>44415.628849618057</v>
      </c>
      <c r="O24" s="21">
        <v>44415.628849618057</v>
      </c>
      <c r="P24" s="21"/>
      <c r="Q24">
        <v>0</v>
      </c>
      <c r="T24">
        <v>60</v>
      </c>
    </row>
    <row r="25" spans="1:20" x14ac:dyDescent="0.25">
      <c r="A25">
        <v>24</v>
      </c>
      <c r="B25" s="1" t="s">
        <v>721</v>
      </c>
      <c r="C25" s="1"/>
      <c r="D25" s="1" t="s">
        <v>722</v>
      </c>
      <c r="E25" s="1"/>
      <c r="F25" s="1"/>
      <c r="G25" s="1" t="s">
        <v>644</v>
      </c>
      <c r="H25" s="1" t="s">
        <v>723</v>
      </c>
      <c r="I25" s="1"/>
      <c r="J25" s="1"/>
      <c r="K25">
        <v>0</v>
      </c>
      <c r="L25">
        <v>0</v>
      </c>
      <c r="N25" s="21">
        <v>44415.628849618057</v>
      </c>
      <c r="O25" s="21">
        <v>44415.628849618057</v>
      </c>
      <c r="P25" s="21"/>
      <c r="Q25">
        <v>0</v>
      </c>
      <c r="T25">
        <v>60</v>
      </c>
    </row>
    <row r="26" spans="1:20" x14ac:dyDescent="0.25">
      <c r="A26">
        <v>25</v>
      </c>
      <c r="B26" s="1" t="s">
        <v>724</v>
      </c>
      <c r="C26" s="1"/>
      <c r="D26" s="1" t="s">
        <v>725</v>
      </c>
      <c r="E26" s="1"/>
      <c r="F26" s="1"/>
      <c r="G26" s="1" t="s">
        <v>726</v>
      </c>
      <c r="H26" s="1" t="s">
        <v>727</v>
      </c>
      <c r="I26" s="1"/>
      <c r="J26" s="1"/>
      <c r="K26">
        <v>0</v>
      </c>
      <c r="L26">
        <v>0</v>
      </c>
      <c r="N26" s="21">
        <v>44415.628849618057</v>
      </c>
      <c r="O26" s="21">
        <v>44415.628849618057</v>
      </c>
      <c r="P26" s="21"/>
      <c r="Q26">
        <v>0</v>
      </c>
      <c r="T26">
        <v>60</v>
      </c>
    </row>
    <row r="27" spans="1:20" x14ac:dyDescent="0.25">
      <c r="A27">
        <v>26</v>
      </c>
      <c r="B27" s="1" t="s">
        <v>728</v>
      </c>
      <c r="C27" s="1" t="s">
        <v>729</v>
      </c>
      <c r="D27" s="1" t="s">
        <v>730</v>
      </c>
      <c r="E27" s="1"/>
      <c r="F27" s="1"/>
      <c r="G27" s="1" t="s">
        <v>644</v>
      </c>
      <c r="H27" s="1" t="s">
        <v>731</v>
      </c>
      <c r="I27" s="1" t="s">
        <v>568</v>
      </c>
      <c r="J27" s="1" t="s">
        <v>636</v>
      </c>
      <c r="K27">
        <v>0</v>
      </c>
      <c r="L27">
        <v>1</v>
      </c>
      <c r="M27">
        <v>23</v>
      </c>
      <c r="N27" s="21">
        <v>44415.628849618057</v>
      </c>
      <c r="O27" s="21">
        <v>44415.628849618057</v>
      </c>
      <c r="P27" s="21"/>
      <c r="Q27">
        <v>0</v>
      </c>
      <c r="T27">
        <v>60</v>
      </c>
    </row>
    <row r="28" spans="1:20" x14ac:dyDescent="0.25">
      <c r="A28">
        <v>27</v>
      </c>
      <c r="B28" s="1" t="s">
        <v>732</v>
      </c>
      <c r="C28" s="1" t="s">
        <v>733</v>
      </c>
      <c r="D28" s="1" t="s">
        <v>734</v>
      </c>
      <c r="E28" s="1"/>
      <c r="F28" s="1"/>
      <c r="G28" s="1" t="s">
        <v>735</v>
      </c>
      <c r="H28" s="1" t="s">
        <v>736</v>
      </c>
      <c r="I28" s="1" t="s">
        <v>737</v>
      </c>
      <c r="J28" s="1" t="s">
        <v>738</v>
      </c>
      <c r="K28">
        <v>1</v>
      </c>
      <c r="L28">
        <v>0</v>
      </c>
      <c r="N28" s="21">
        <v>44415.628849618057</v>
      </c>
      <c r="O28" s="21">
        <v>44415.628849618057</v>
      </c>
      <c r="P28" s="21"/>
      <c r="Q28">
        <v>0</v>
      </c>
      <c r="T28">
        <v>60</v>
      </c>
    </row>
    <row r="29" spans="1:20" x14ac:dyDescent="0.25">
      <c r="A29">
        <v>28</v>
      </c>
      <c r="B29" s="1" t="s">
        <v>739</v>
      </c>
      <c r="C29" s="1" t="s">
        <v>740</v>
      </c>
      <c r="D29" s="1" t="s">
        <v>741</v>
      </c>
      <c r="E29" s="1"/>
      <c r="F29" s="1"/>
      <c r="G29" s="1" t="s">
        <v>644</v>
      </c>
      <c r="H29" s="1" t="s">
        <v>742</v>
      </c>
      <c r="I29" s="1" t="s">
        <v>568</v>
      </c>
      <c r="J29" s="1" t="s">
        <v>641</v>
      </c>
      <c r="K29">
        <v>0</v>
      </c>
      <c r="L29">
        <v>1</v>
      </c>
      <c r="M29">
        <v>4823</v>
      </c>
      <c r="N29" s="21">
        <v>44415.628849618057</v>
      </c>
      <c r="O29" s="21">
        <v>44415.628849618057</v>
      </c>
      <c r="P29" s="21"/>
      <c r="Q29">
        <v>0</v>
      </c>
      <c r="T29">
        <v>60</v>
      </c>
    </row>
    <row r="30" spans="1:20" x14ac:dyDescent="0.25">
      <c r="A30">
        <v>29</v>
      </c>
      <c r="B30" s="1" t="s">
        <v>743</v>
      </c>
      <c r="C30" s="1"/>
      <c r="D30" s="1" t="s">
        <v>744</v>
      </c>
      <c r="E30" s="1"/>
      <c r="F30" s="1"/>
      <c r="G30" s="1" t="s">
        <v>644</v>
      </c>
      <c r="H30" s="1" t="s">
        <v>745</v>
      </c>
      <c r="I30" s="1"/>
      <c r="J30" s="1" t="s">
        <v>641</v>
      </c>
      <c r="K30">
        <v>0</v>
      </c>
      <c r="L30">
        <v>0</v>
      </c>
      <c r="N30" s="21">
        <v>44415.628849618057</v>
      </c>
      <c r="O30" s="21">
        <v>44415.628849618057</v>
      </c>
      <c r="P30" s="21"/>
      <c r="Q30">
        <v>0</v>
      </c>
      <c r="T30">
        <v>60</v>
      </c>
    </row>
    <row r="31" spans="1:20" x14ac:dyDescent="0.25">
      <c r="A31">
        <v>30</v>
      </c>
      <c r="B31" s="1" t="s">
        <v>746</v>
      </c>
      <c r="C31" s="1"/>
      <c r="D31" s="1" t="s">
        <v>747</v>
      </c>
      <c r="E31" s="1"/>
      <c r="F31" s="1"/>
      <c r="G31" s="1" t="s">
        <v>634</v>
      </c>
      <c r="H31" s="1" t="s">
        <v>748</v>
      </c>
      <c r="I31" s="1"/>
      <c r="J31" s="1"/>
      <c r="K31">
        <v>0</v>
      </c>
      <c r="L31">
        <v>0</v>
      </c>
      <c r="N31" s="21">
        <v>44415.628849618057</v>
      </c>
      <c r="O31" s="21">
        <v>44415.628849618057</v>
      </c>
      <c r="P31" s="21"/>
      <c r="Q31">
        <v>0</v>
      </c>
      <c r="T31">
        <v>60</v>
      </c>
    </row>
    <row r="32" spans="1:20" x14ac:dyDescent="0.25">
      <c r="A32">
        <v>31</v>
      </c>
      <c r="B32" s="1" t="s">
        <v>749</v>
      </c>
      <c r="C32" s="1" t="s">
        <v>750</v>
      </c>
      <c r="D32" s="1" t="s">
        <v>751</v>
      </c>
      <c r="E32" s="1"/>
      <c r="F32" s="1"/>
      <c r="G32" s="1" t="s">
        <v>634</v>
      </c>
      <c r="H32" s="1" t="s">
        <v>752</v>
      </c>
      <c r="I32" s="1" t="s">
        <v>753</v>
      </c>
      <c r="J32" s="1" t="s">
        <v>754</v>
      </c>
      <c r="K32">
        <v>0</v>
      </c>
      <c r="L32">
        <v>1</v>
      </c>
      <c r="M32">
        <v>3868</v>
      </c>
      <c r="N32" s="21">
        <v>44415.628849618057</v>
      </c>
      <c r="O32" s="21">
        <v>44415.628849618057</v>
      </c>
      <c r="P32" s="21"/>
      <c r="Q32">
        <v>0</v>
      </c>
      <c r="T32">
        <v>60</v>
      </c>
    </row>
    <row r="33" spans="1:20" x14ac:dyDescent="0.25">
      <c r="A33">
        <v>32</v>
      </c>
      <c r="B33" s="1" t="s">
        <v>755</v>
      </c>
      <c r="C33" s="1" t="s">
        <v>756</v>
      </c>
      <c r="D33" s="1" t="s">
        <v>757</v>
      </c>
      <c r="E33" s="1"/>
      <c r="F33" s="1"/>
      <c r="G33" s="1" t="s">
        <v>634</v>
      </c>
      <c r="H33" s="1" t="s">
        <v>758</v>
      </c>
      <c r="I33" s="1" t="s">
        <v>568</v>
      </c>
      <c r="J33" s="1" t="s">
        <v>641</v>
      </c>
      <c r="K33">
        <v>0</v>
      </c>
      <c r="L33">
        <v>1</v>
      </c>
      <c r="M33">
        <v>15</v>
      </c>
      <c r="N33" s="21">
        <v>44415.628849618057</v>
      </c>
      <c r="O33" s="21">
        <v>44415.628849618057</v>
      </c>
      <c r="P33" s="21"/>
      <c r="Q33">
        <v>0</v>
      </c>
      <c r="T33">
        <v>60</v>
      </c>
    </row>
    <row r="34" spans="1:20" x14ac:dyDescent="0.25">
      <c r="A34">
        <v>33</v>
      </c>
      <c r="B34" s="1" t="s">
        <v>759</v>
      </c>
      <c r="C34" s="1"/>
      <c r="D34" s="1" t="s">
        <v>760</v>
      </c>
      <c r="E34" s="1"/>
      <c r="F34" s="1"/>
      <c r="G34" s="1"/>
      <c r="H34" s="1" t="s">
        <v>761</v>
      </c>
      <c r="I34" s="1"/>
      <c r="J34" s="1"/>
      <c r="K34">
        <v>0</v>
      </c>
      <c r="L34">
        <v>0</v>
      </c>
      <c r="N34" s="21">
        <v>44415.628849618057</v>
      </c>
      <c r="O34" s="21">
        <v>44415.628849618057</v>
      </c>
      <c r="P34" s="21"/>
      <c r="Q34">
        <v>0</v>
      </c>
      <c r="T34">
        <v>60</v>
      </c>
    </row>
    <row r="35" spans="1:20" x14ac:dyDescent="0.25">
      <c r="A35">
        <v>34</v>
      </c>
      <c r="B35" s="1" t="s">
        <v>762</v>
      </c>
      <c r="C35" s="1" t="s">
        <v>763</v>
      </c>
      <c r="D35" s="1" t="s">
        <v>764</v>
      </c>
      <c r="E35" s="1"/>
      <c r="F35" s="1"/>
      <c r="G35" s="1" t="s">
        <v>634</v>
      </c>
      <c r="H35" s="1" t="s">
        <v>765</v>
      </c>
      <c r="I35" s="1" t="s">
        <v>568</v>
      </c>
      <c r="J35" s="1" t="s">
        <v>641</v>
      </c>
      <c r="K35">
        <v>0</v>
      </c>
      <c r="L35">
        <v>0</v>
      </c>
      <c r="N35" s="21">
        <v>44415.628849618057</v>
      </c>
      <c r="O35" s="21">
        <v>44415.628849618057</v>
      </c>
      <c r="P35" s="21"/>
      <c r="Q35">
        <v>0</v>
      </c>
      <c r="T35">
        <v>60</v>
      </c>
    </row>
    <row r="36" spans="1:20" x14ac:dyDescent="0.25">
      <c r="A36">
        <v>35</v>
      </c>
      <c r="B36" s="1" t="s">
        <v>766</v>
      </c>
      <c r="C36" s="1" t="s">
        <v>767</v>
      </c>
      <c r="D36" s="1" t="s">
        <v>768</v>
      </c>
      <c r="E36" s="1"/>
      <c r="F36" s="1"/>
      <c r="G36" s="1" t="s">
        <v>634</v>
      </c>
      <c r="H36" s="1" t="s">
        <v>769</v>
      </c>
      <c r="I36" s="1" t="s">
        <v>568</v>
      </c>
      <c r="J36" s="1" t="s">
        <v>641</v>
      </c>
      <c r="K36">
        <v>0</v>
      </c>
      <c r="L36">
        <v>1</v>
      </c>
      <c r="M36">
        <v>46</v>
      </c>
      <c r="N36" s="21">
        <v>44415.628849618057</v>
      </c>
      <c r="O36" s="21">
        <v>44415.628849618057</v>
      </c>
      <c r="P36" s="21"/>
      <c r="Q36">
        <v>0</v>
      </c>
      <c r="T36">
        <v>60</v>
      </c>
    </row>
    <row r="37" spans="1:20" x14ac:dyDescent="0.25">
      <c r="A37">
        <v>36</v>
      </c>
      <c r="B37" s="1" t="s">
        <v>770</v>
      </c>
      <c r="C37" s="1" t="s">
        <v>771</v>
      </c>
      <c r="D37" s="1" t="s">
        <v>772</v>
      </c>
      <c r="E37" s="1"/>
      <c r="F37" s="1"/>
      <c r="G37" s="1" t="s">
        <v>644</v>
      </c>
      <c r="H37" s="1" t="s">
        <v>773</v>
      </c>
      <c r="I37" s="1" t="s">
        <v>568</v>
      </c>
      <c r="J37" s="1" t="s">
        <v>774</v>
      </c>
      <c r="K37">
        <v>0</v>
      </c>
      <c r="L37">
        <v>1</v>
      </c>
      <c r="M37">
        <v>12</v>
      </c>
      <c r="N37" s="21">
        <v>44415.628849618057</v>
      </c>
      <c r="O37" s="21">
        <v>44415.628849618057</v>
      </c>
      <c r="P37" s="21"/>
      <c r="Q37">
        <v>0</v>
      </c>
      <c r="T37">
        <v>60</v>
      </c>
    </row>
    <row r="38" spans="1:20" x14ac:dyDescent="0.25">
      <c r="A38">
        <v>37</v>
      </c>
      <c r="B38" s="1" t="s">
        <v>775</v>
      </c>
      <c r="C38" s="1"/>
      <c r="D38" s="1" t="s">
        <v>776</v>
      </c>
      <c r="E38" s="1"/>
      <c r="F38" s="1"/>
      <c r="G38" s="1" t="s">
        <v>634</v>
      </c>
      <c r="H38" s="1" t="s">
        <v>777</v>
      </c>
      <c r="I38" s="1"/>
      <c r="J38" s="1"/>
      <c r="K38">
        <v>0</v>
      </c>
      <c r="L38">
        <v>0</v>
      </c>
      <c r="N38" s="21">
        <v>44415.628849618057</v>
      </c>
      <c r="O38" s="21">
        <v>44415.628849618057</v>
      </c>
      <c r="P38" s="21"/>
      <c r="Q38">
        <v>0</v>
      </c>
      <c r="T38">
        <v>60</v>
      </c>
    </row>
    <row r="39" spans="1:20" x14ac:dyDescent="0.25">
      <c r="A39">
        <v>38</v>
      </c>
      <c r="B39" s="1" t="s">
        <v>778</v>
      </c>
      <c r="C39" s="1"/>
      <c r="D39" s="1" t="s">
        <v>779</v>
      </c>
      <c r="E39" s="1"/>
      <c r="F39" s="1" t="s">
        <v>780</v>
      </c>
      <c r="G39" s="1" t="s">
        <v>713</v>
      </c>
      <c r="H39" s="1" t="s">
        <v>781</v>
      </c>
      <c r="I39" s="1" t="s">
        <v>782</v>
      </c>
      <c r="J39" s="1" t="s">
        <v>783</v>
      </c>
      <c r="K39">
        <v>0</v>
      </c>
      <c r="L39">
        <v>0</v>
      </c>
      <c r="N39" s="21">
        <v>44415.628849618057</v>
      </c>
      <c r="O39" s="21">
        <v>44415.628849618057</v>
      </c>
      <c r="P39" s="21"/>
      <c r="Q39">
        <v>0</v>
      </c>
      <c r="T39">
        <v>60</v>
      </c>
    </row>
    <row r="40" spans="1:20" x14ac:dyDescent="0.25">
      <c r="A40">
        <v>39</v>
      </c>
      <c r="B40" s="1" t="s">
        <v>784</v>
      </c>
      <c r="C40" s="1"/>
      <c r="D40" s="1" t="s">
        <v>785</v>
      </c>
      <c r="E40" s="1"/>
      <c r="F40" s="1"/>
      <c r="G40" s="1"/>
      <c r="H40" s="1" t="s">
        <v>786</v>
      </c>
      <c r="I40" s="1"/>
      <c r="J40" s="1"/>
      <c r="K40">
        <v>0</v>
      </c>
      <c r="L40">
        <v>0</v>
      </c>
      <c r="N40" s="21">
        <v>44415.628849618057</v>
      </c>
      <c r="O40" s="21">
        <v>44415.628849618057</v>
      </c>
      <c r="P40" s="21"/>
      <c r="Q40">
        <v>0</v>
      </c>
      <c r="T40">
        <v>60</v>
      </c>
    </row>
    <row r="41" spans="1:20" x14ac:dyDescent="0.25">
      <c r="A41">
        <v>40</v>
      </c>
      <c r="B41" s="1" t="s">
        <v>787</v>
      </c>
      <c r="C41" s="1"/>
      <c r="D41" s="1" t="s">
        <v>788</v>
      </c>
      <c r="E41" s="1"/>
      <c r="F41" s="1"/>
      <c r="G41" s="1" t="s">
        <v>634</v>
      </c>
      <c r="H41" s="1" t="s">
        <v>789</v>
      </c>
      <c r="I41" s="1"/>
      <c r="J41" s="1"/>
      <c r="K41">
        <v>0</v>
      </c>
      <c r="L41">
        <v>1</v>
      </c>
      <c r="N41" s="21">
        <v>44415.628849618057</v>
      </c>
      <c r="O41" s="21">
        <v>44415.628849618057</v>
      </c>
      <c r="P41" s="21"/>
      <c r="Q41">
        <v>0</v>
      </c>
      <c r="T41">
        <v>60</v>
      </c>
    </row>
    <row r="42" spans="1:20" x14ac:dyDescent="0.25">
      <c r="A42">
        <v>41</v>
      </c>
      <c r="B42" s="1" t="s">
        <v>790</v>
      </c>
      <c r="C42" s="1"/>
      <c r="D42" s="1" t="s">
        <v>791</v>
      </c>
      <c r="E42" s="1"/>
      <c r="F42" s="1"/>
      <c r="G42" s="1" t="s">
        <v>634</v>
      </c>
      <c r="H42" s="1" t="s">
        <v>792</v>
      </c>
      <c r="I42" s="1"/>
      <c r="J42" s="1"/>
      <c r="K42">
        <v>0</v>
      </c>
      <c r="L42">
        <v>0</v>
      </c>
      <c r="N42" s="21">
        <v>44415.628849618057</v>
      </c>
      <c r="O42" s="21">
        <v>44415.628849618057</v>
      </c>
      <c r="P42" s="21"/>
      <c r="Q42">
        <v>0</v>
      </c>
      <c r="T42">
        <v>60</v>
      </c>
    </row>
    <row r="43" spans="1:20" x14ac:dyDescent="0.25">
      <c r="A43">
        <v>42</v>
      </c>
      <c r="B43" s="1" t="s">
        <v>793</v>
      </c>
      <c r="C43" s="1"/>
      <c r="D43" s="1" t="s">
        <v>794</v>
      </c>
      <c r="E43" s="1"/>
      <c r="F43" s="1"/>
      <c r="G43" s="1" t="s">
        <v>634</v>
      </c>
      <c r="H43" s="1" t="s">
        <v>795</v>
      </c>
      <c r="I43" s="1"/>
      <c r="J43" s="1" t="s">
        <v>641</v>
      </c>
      <c r="K43">
        <v>0</v>
      </c>
      <c r="L43">
        <v>0</v>
      </c>
      <c r="N43" s="21">
        <v>44415.628849618057</v>
      </c>
      <c r="O43" s="21">
        <v>44415.628849618057</v>
      </c>
      <c r="P43" s="21"/>
      <c r="Q43">
        <v>0</v>
      </c>
      <c r="T43">
        <v>60</v>
      </c>
    </row>
    <row r="44" spans="1:20" x14ac:dyDescent="0.25">
      <c r="A44">
        <v>43</v>
      </c>
      <c r="B44" s="1" t="s">
        <v>796</v>
      </c>
      <c r="C44" s="1"/>
      <c r="D44" s="1" t="s">
        <v>797</v>
      </c>
      <c r="E44" s="1"/>
      <c r="F44" s="1"/>
      <c r="G44" s="1" t="s">
        <v>644</v>
      </c>
      <c r="H44" s="1" t="s">
        <v>798</v>
      </c>
      <c r="I44" s="1" t="s">
        <v>799</v>
      </c>
      <c r="J44" s="1" t="s">
        <v>641</v>
      </c>
      <c r="K44">
        <v>0</v>
      </c>
      <c r="L44">
        <v>0</v>
      </c>
      <c r="N44" s="21">
        <v>44415.628849618057</v>
      </c>
      <c r="O44" s="21">
        <v>44415.628849618057</v>
      </c>
      <c r="P44" s="21"/>
      <c r="Q44">
        <v>0</v>
      </c>
      <c r="T44">
        <v>60</v>
      </c>
    </row>
    <row r="45" spans="1:20" x14ac:dyDescent="0.25">
      <c r="A45">
        <v>44</v>
      </c>
      <c r="B45" s="1" t="s">
        <v>800</v>
      </c>
      <c r="C45" s="1"/>
      <c r="D45" s="1" t="s">
        <v>801</v>
      </c>
      <c r="E45" s="1"/>
      <c r="F45" s="1"/>
      <c r="G45" s="1" t="s">
        <v>644</v>
      </c>
      <c r="H45" s="1" t="s">
        <v>802</v>
      </c>
      <c r="I45" s="1" t="s">
        <v>803</v>
      </c>
      <c r="J45" s="1" t="s">
        <v>636</v>
      </c>
      <c r="K45">
        <v>0</v>
      </c>
      <c r="L45">
        <v>0</v>
      </c>
      <c r="N45" s="21">
        <v>44415.628849618057</v>
      </c>
      <c r="O45" s="21">
        <v>44415.628849618057</v>
      </c>
      <c r="P45" s="21"/>
      <c r="Q45">
        <v>0</v>
      </c>
      <c r="T45">
        <v>60</v>
      </c>
    </row>
    <row r="46" spans="1:20" x14ac:dyDescent="0.25">
      <c r="A46">
        <v>45</v>
      </c>
      <c r="B46" s="1" t="s">
        <v>804</v>
      </c>
      <c r="C46" s="1"/>
      <c r="D46" s="1" t="s">
        <v>805</v>
      </c>
      <c r="E46" s="1" t="s">
        <v>806</v>
      </c>
      <c r="F46" s="1"/>
      <c r="G46" s="1" t="s">
        <v>634</v>
      </c>
      <c r="H46" s="1" t="s">
        <v>807</v>
      </c>
      <c r="I46" s="1" t="s">
        <v>808</v>
      </c>
      <c r="J46" s="1"/>
      <c r="K46">
        <v>0</v>
      </c>
      <c r="L46">
        <v>0</v>
      </c>
      <c r="N46" s="21">
        <v>44415.628849618057</v>
      </c>
      <c r="O46" s="21">
        <v>44415.628849618057</v>
      </c>
      <c r="P46" s="21"/>
      <c r="Q46">
        <v>0</v>
      </c>
      <c r="T46">
        <v>60</v>
      </c>
    </row>
    <row r="47" spans="1:20" x14ac:dyDescent="0.25">
      <c r="A47">
        <v>46</v>
      </c>
      <c r="B47" s="1" t="s">
        <v>809</v>
      </c>
      <c r="C47" s="1"/>
      <c r="D47" s="1" t="s">
        <v>810</v>
      </c>
      <c r="E47" s="1"/>
      <c r="F47" s="1"/>
      <c r="G47" s="1" t="s">
        <v>644</v>
      </c>
      <c r="H47" s="1" t="s">
        <v>811</v>
      </c>
      <c r="I47" s="1" t="s">
        <v>675</v>
      </c>
      <c r="J47" s="1"/>
      <c r="K47">
        <v>0</v>
      </c>
      <c r="L47">
        <v>0</v>
      </c>
      <c r="N47" s="21">
        <v>44415.628849618057</v>
      </c>
      <c r="O47" s="21">
        <v>44415.628849618057</v>
      </c>
      <c r="P47" s="21"/>
      <c r="Q47">
        <v>0</v>
      </c>
      <c r="T47">
        <v>60</v>
      </c>
    </row>
    <row r="48" spans="1:20" x14ac:dyDescent="0.25">
      <c r="A48">
        <v>47</v>
      </c>
      <c r="B48" s="1" t="s">
        <v>812</v>
      </c>
      <c r="C48" s="1"/>
      <c r="D48" s="1" t="s">
        <v>813</v>
      </c>
      <c r="E48" s="1"/>
      <c r="F48" s="1"/>
      <c r="G48" s="1"/>
      <c r="H48" s="1" t="s">
        <v>814</v>
      </c>
      <c r="I48" s="1"/>
      <c r="J48" s="1"/>
      <c r="K48">
        <v>0</v>
      </c>
      <c r="L48">
        <v>0</v>
      </c>
      <c r="N48" s="21">
        <v>44415.628849618057</v>
      </c>
      <c r="O48" s="21">
        <v>44415.628849618057</v>
      </c>
      <c r="P48" s="21"/>
      <c r="Q48">
        <v>0</v>
      </c>
      <c r="T48">
        <v>60</v>
      </c>
    </row>
    <row r="49" spans="1:20" x14ac:dyDescent="0.25">
      <c r="A49">
        <v>48</v>
      </c>
      <c r="B49" s="1" t="s">
        <v>815</v>
      </c>
      <c r="C49" s="1"/>
      <c r="D49" s="1" t="s">
        <v>816</v>
      </c>
      <c r="E49" s="1"/>
      <c r="F49" s="1"/>
      <c r="G49" s="1"/>
      <c r="H49" s="1" t="s">
        <v>817</v>
      </c>
      <c r="I49" s="1"/>
      <c r="J49" s="1"/>
      <c r="K49">
        <v>0</v>
      </c>
      <c r="L49">
        <v>0</v>
      </c>
      <c r="N49" s="21">
        <v>44415.628849618057</v>
      </c>
      <c r="O49" s="21">
        <v>44415.628849618057</v>
      </c>
      <c r="P49" s="21"/>
      <c r="Q49">
        <v>0</v>
      </c>
      <c r="T49">
        <v>60</v>
      </c>
    </row>
    <row r="50" spans="1:20" x14ac:dyDescent="0.25">
      <c r="A50">
        <v>49</v>
      </c>
      <c r="B50" s="1" t="s">
        <v>818</v>
      </c>
      <c r="C50" s="1"/>
      <c r="D50" s="1" t="s">
        <v>819</v>
      </c>
      <c r="E50" s="1"/>
      <c r="F50" s="1"/>
      <c r="G50" s="1" t="s">
        <v>644</v>
      </c>
      <c r="H50" s="1" t="s">
        <v>820</v>
      </c>
      <c r="I50" s="1"/>
      <c r="J50" s="1"/>
      <c r="K50">
        <v>0</v>
      </c>
      <c r="L50">
        <v>0</v>
      </c>
      <c r="N50" s="21">
        <v>44415.628849618057</v>
      </c>
      <c r="O50" s="21">
        <v>44415.628849618057</v>
      </c>
      <c r="P50" s="21"/>
      <c r="Q50">
        <v>0</v>
      </c>
      <c r="T50">
        <v>60</v>
      </c>
    </row>
    <row r="51" spans="1:20" x14ac:dyDescent="0.25">
      <c r="A51">
        <v>50</v>
      </c>
      <c r="B51" s="1" t="s">
        <v>821</v>
      </c>
      <c r="C51" s="1"/>
      <c r="D51" s="1" t="s">
        <v>822</v>
      </c>
      <c r="E51" s="1"/>
      <c r="F51" s="1"/>
      <c r="G51" s="1" t="s">
        <v>644</v>
      </c>
      <c r="H51" s="1" t="s">
        <v>823</v>
      </c>
      <c r="I51" s="1"/>
      <c r="J51" s="1"/>
      <c r="K51">
        <v>0</v>
      </c>
      <c r="L51">
        <v>0</v>
      </c>
      <c r="N51" s="21">
        <v>44415.628849618057</v>
      </c>
      <c r="O51" s="21">
        <v>44415.628849618057</v>
      </c>
      <c r="P51" s="21"/>
      <c r="Q51">
        <v>0</v>
      </c>
      <c r="T51">
        <v>60</v>
      </c>
    </row>
    <row r="52" spans="1:20" x14ac:dyDescent="0.25">
      <c r="A52">
        <v>51</v>
      </c>
      <c r="B52" s="1" t="s">
        <v>824</v>
      </c>
      <c r="C52" s="1" t="s">
        <v>825</v>
      </c>
      <c r="D52" s="1" t="s">
        <v>826</v>
      </c>
      <c r="E52" s="1"/>
      <c r="F52" s="1"/>
      <c r="G52" s="1" t="s">
        <v>634</v>
      </c>
      <c r="H52" s="1" t="s">
        <v>827</v>
      </c>
      <c r="I52" s="1" t="s">
        <v>568</v>
      </c>
      <c r="J52" s="1" t="s">
        <v>641</v>
      </c>
      <c r="K52">
        <v>0</v>
      </c>
      <c r="L52">
        <v>1</v>
      </c>
      <c r="M52">
        <v>26</v>
      </c>
      <c r="N52" s="21">
        <v>44415.628849618057</v>
      </c>
      <c r="O52" s="21">
        <v>44415.628849618057</v>
      </c>
      <c r="P52" s="21"/>
      <c r="Q52">
        <v>0</v>
      </c>
      <c r="T52">
        <v>60</v>
      </c>
    </row>
    <row r="53" spans="1:20" x14ac:dyDescent="0.25">
      <c r="A53">
        <v>52</v>
      </c>
      <c r="B53" s="1" t="s">
        <v>828</v>
      </c>
      <c r="C53" s="1"/>
      <c r="D53" s="1" t="s">
        <v>829</v>
      </c>
      <c r="E53" s="1"/>
      <c r="F53" s="1"/>
      <c r="G53" s="1" t="s">
        <v>644</v>
      </c>
      <c r="H53" s="1" t="s">
        <v>830</v>
      </c>
      <c r="I53" s="1"/>
      <c r="J53" s="1"/>
      <c r="K53">
        <v>0</v>
      </c>
      <c r="L53">
        <v>0</v>
      </c>
      <c r="N53" s="21">
        <v>44415.628849618057</v>
      </c>
      <c r="O53" s="21">
        <v>44415.628849618057</v>
      </c>
      <c r="P53" s="21"/>
      <c r="Q53">
        <v>0</v>
      </c>
      <c r="T53">
        <v>60</v>
      </c>
    </row>
    <row r="54" spans="1:20" x14ac:dyDescent="0.25">
      <c r="A54">
        <v>53</v>
      </c>
      <c r="B54" s="1" t="s">
        <v>831</v>
      </c>
      <c r="C54" s="1" t="s">
        <v>832</v>
      </c>
      <c r="D54" s="1" t="s">
        <v>833</v>
      </c>
      <c r="E54" s="1"/>
      <c r="F54" s="1"/>
      <c r="G54" s="1" t="s">
        <v>634</v>
      </c>
      <c r="H54" s="1" t="s">
        <v>834</v>
      </c>
      <c r="I54" s="1" t="s">
        <v>568</v>
      </c>
      <c r="J54" s="1" t="s">
        <v>641</v>
      </c>
      <c r="K54">
        <v>0</v>
      </c>
      <c r="L54">
        <v>1</v>
      </c>
      <c r="M54">
        <v>4410</v>
      </c>
      <c r="N54" s="21">
        <v>44415.628849618057</v>
      </c>
      <c r="O54" s="21">
        <v>44415.628849618057</v>
      </c>
      <c r="P54" s="21"/>
      <c r="Q54">
        <v>0</v>
      </c>
      <c r="T54">
        <v>60</v>
      </c>
    </row>
    <row r="55" spans="1:20" x14ac:dyDescent="0.25">
      <c r="A55">
        <v>54</v>
      </c>
      <c r="B55" s="1" t="s">
        <v>835</v>
      </c>
      <c r="C55" s="1" t="s">
        <v>836</v>
      </c>
      <c r="D55" s="1" t="s">
        <v>837</v>
      </c>
      <c r="E55" s="1"/>
      <c r="F55" s="1"/>
      <c r="G55" s="1" t="s">
        <v>644</v>
      </c>
      <c r="H55" s="1" t="s">
        <v>838</v>
      </c>
      <c r="I55" s="1" t="s">
        <v>690</v>
      </c>
      <c r="J55" s="1" t="s">
        <v>641</v>
      </c>
      <c r="K55">
        <v>0</v>
      </c>
      <c r="L55">
        <v>1</v>
      </c>
      <c r="M55">
        <v>4853</v>
      </c>
      <c r="N55" s="21">
        <v>44415.628849618057</v>
      </c>
      <c r="O55" s="21">
        <v>44415.628849618057</v>
      </c>
      <c r="P55" s="21"/>
      <c r="Q55">
        <v>0</v>
      </c>
      <c r="T55">
        <v>60</v>
      </c>
    </row>
    <row r="56" spans="1:20" x14ac:dyDescent="0.25">
      <c r="A56">
        <v>55</v>
      </c>
      <c r="B56" s="1" t="s">
        <v>839</v>
      </c>
      <c r="C56" s="1" t="s">
        <v>840</v>
      </c>
      <c r="D56" s="1" t="s">
        <v>841</v>
      </c>
      <c r="E56" s="1"/>
      <c r="F56" s="1"/>
      <c r="G56" s="1" t="s">
        <v>644</v>
      </c>
      <c r="H56" s="1" t="s">
        <v>842</v>
      </c>
      <c r="I56" s="1" t="s">
        <v>568</v>
      </c>
      <c r="J56" s="1" t="s">
        <v>754</v>
      </c>
      <c r="K56">
        <v>0</v>
      </c>
      <c r="L56">
        <v>1</v>
      </c>
      <c r="M56">
        <v>4348</v>
      </c>
      <c r="N56" s="21">
        <v>44415.628849618057</v>
      </c>
      <c r="O56" s="21">
        <v>44415.628849618057</v>
      </c>
      <c r="P56" s="21"/>
      <c r="Q56">
        <v>0</v>
      </c>
      <c r="T56">
        <v>60</v>
      </c>
    </row>
    <row r="57" spans="1:20" x14ac:dyDescent="0.25">
      <c r="A57">
        <v>56</v>
      </c>
      <c r="B57" s="1" t="s">
        <v>843</v>
      </c>
      <c r="C57" s="1"/>
      <c r="D57" s="1" t="s">
        <v>844</v>
      </c>
      <c r="E57" s="1"/>
      <c r="F57" s="1"/>
      <c r="G57" s="1" t="s">
        <v>644</v>
      </c>
      <c r="H57" s="1" t="s">
        <v>845</v>
      </c>
      <c r="I57" s="1" t="s">
        <v>568</v>
      </c>
      <c r="J57" s="1" t="s">
        <v>636</v>
      </c>
      <c r="K57">
        <v>0</v>
      </c>
      <c r="L57">
        <v>0</v>
      </c>
      <c r="N57" s="21">
        <v>44415.628849618057</v>
      </c>
      <c r="O57" s="21">
        <v>44415.628849618057</v>
      </c>
      <c r="P57" s="21"/>
      <c r="Q57">
        <v>0</v>
      </c>
      <c r="T57">
        <v>60</v>
      </c>
    </row>
    <row r="58" spans="1:20" x14ac:dyDescent="0.25">
      <c r="A58">
        <v>57</v>
      </c>
      <c r="B58" s="1" t="s">
        <v>846</v>
      </c>
      <c r="C58" s="1" t="s">
        <v>847</v>
      </c>
      <c r="D58" s="1" t="s">
        <v>848</v>
      </c>
      <c r="E58" s="1"/>
      <c r="F58" s="1"/>
      <c r="G58" s="1" t="s">
        <v>644</v>
      </c>
      <c r="H58" s="1" t="s">
        <v>849</v>
      </c>
      <c r="I58" s="1"/>
      <c r="J58" s="1" t="s">
        <v>641</v>
      </c>
      <c r="K58">
        <v>0</v>
      </c>
      <c r="L58">
        <v>1</v>
      </c>
      <c r="M58">
        <v>20</v>
      </c>
      <c r="N58" s="21">
        <v>44415.628849618057</v>
      </c>
      <c r="O58" s="21">
        <v>44415.628849618057</v>
      </c>
      <c r="P58" s="21"/>
      <c r="Q58">
        <v>0</v>
      </c>
      <c r="T58">
        <v>60</v>
      </c>
    </row>
    <row r="59" spans="1:20" x14ac:dyDescent="0.25">
      <c r="A59">
        <v>58</v>
      </c>
      <c r="B59" s="1" t="s">
        <v>850</v>
      </c>
      <c r="C59" s="1"/>
      <c r="D59" s="1" t="s">
        <v>851</v>
      </c>
      <c r="E59" s="1"/>
      <c r="F59" s="1"/>
      <c r="G59" s="1" t="s">
        <v>634</v>
      </c>
      <c r="H59" s="1" t="s">
        <v>852</v>
      </c>
      <c r="I59" s="1"/>
      <c r="J59" s="1"/>
      <c r="K59">
        <v>0</v>
      </c>
      <c r="L59">
        <v>0</v>
      </c>
      <c r="N59" s="21">
        <v>44415.628849618057</v>
      </c>
      <c r="O59" s="21">
        <v>44415.628849618057</v>
      </c>
      <c r="P59" s="21"/>
      <c r="Q59">
        <v>0</v>
      </c>
      <c r="T59">
        <v>60</v>
      </c>
    </row>
    <row r="60" spans="1:20" x14ac:dyDescent="0.25">
      <c r="A60">
        <v>59</v>
      </c>
      <c r="B60" s="1" t="s">
        <v>853</v>
      </c>
      <c r="C60" s="1"/>
      <c r="D60" s="1" t="s">
        <v>854</v>
      </c>
      <c r="E60" s="1"/>
      <c r="F60" s="1"/>
      <c r="G60" s="1"/>
      <c r="H60" s="1" t="s">
        <v>855</v>
      </c>
      <c r="I60" s="1"/>
      <c r="J60" s="1"/>
      <c r="K60">
        <v>0</v>
      </c>
      <c r="L60">
        <v>0</v>
      </c>
      <c r="N60" s="21">
        <v>44415.628849618057</v>
      </c>
      <c r="O60" s="21">
        <v>44415.628849618057</v>
      </c>
      <c r="P60" s="21"/>
      <c r="Q60">
        <v>0</v>
      </c>
      <c r="T60">
        <v>60</v>
      </c>
    </row>
    <row r="61" spans="1:20" x14ac:dyDescent="0.25">
      <c r="A61">
        <v>60</v>
      </c>
      <c r="B61" s="1" t="s">
        <v>856</v>
      </c>
      <c r="C61" s="1"/>
      <c r="D61" s="1" t="s">
        <v>857</v>
      </c>
      <c r="E61" s="1"/>
      <c r="F61" s="1"/>
      <c r="G61" s="1" t="s">
        <v>644</v>
      </c>
      <c r="H61" s="1" t="s">
        <v>858</v>
      </c>
      <c r="I61" s="1" t="s">
        <v>859</v>
      </c>
      <c r="J61" s="1" t="s">
        <v>641</v>
      </c>
      <c r="K61">
        <v>0</v>
      </c>
      <c r="L61">
        <v>0</v>
      </c>
      <c r="N61" s="21">
        <v>44415.628849618057</v>
      </c>
      <c r="O61" s="21">
        <v>44415.628849618057</v>
      </c>
      <c r="P61" s="21"/>
      <c r="Q61">
        <v>0</v>
      </c>
      <c r="T61">
        <v>60</v>
      </c>
    </row>
    <row r="62" spans="1:20" x14ac:dyDescent="0.25">
      <c r="A62">
        <v>61</v>
      </c>
      <c r="B62" s="1" t="s">
        <v>860</v>
      </c>
      <c r="C62" s="1" t="s">
        <v>861</v>
      </c>
      <c r="D62" s="1" t="s">
        <v>862</v>
      </c>
      <c r="E62" s="1"/>
      <c r="F62" s="1"/>
      <c r="G62" s="1" t="s">
        <v>644</v>
      </c>
      <c r="H62" s="1" t="s">
        <v>863</v>
      </c>
      <c r="I62" s="1" t="s">
        <v>799</v>
      </c>
      <c r="J62" s="1" t="s">
        <v>641</v>
      </c>
      <c r="K62">
        <v>0</v>
      </c>
      <c r="L62">
        <v>1</v>
      </c>
      <c r="M62">
        <v>3788</v>
      </c>
      <c r="N62" s="21">
        <v>44415.628849618057</v>
      </c>
      <c r="O62" s="21">
        <v>44415.628849618057</v>
      </c>
      <c r="P62" s="21"/>
      <c r="Q62">
        <v>0</v>
      </c>
      <c r="T62">
        <v>60</v>
      </c>
    </row>
    <row r="63" spans="1:20" x14ac:dyDescent="0.25">
      <c r="A63">
        <v>62</v>
      </c>
      <c r="B63" s="1" t="s">
        <v>864</v>
      </c>
      <c r="C63" s="1"/>
      <c r="D63" s="1" t="s">
        <v>865</v>
      </c>
      <c r="E63" s="1"/>
      <c r="F63" s="1"/>
      <c r="G63" s="1" t="s">
        <v>634</v>
      </c>
      <c r="H63" s="1" t="s">
        <v>866</v>
      </c>
      <c r="I63" s="1" t="s">
        <v>675</v>
      </c>
      <c r="J63" s="1" t="s">
        <v>867</v>
      </c>
      <c r="K63">
        <v>0</v>
      </c>
      <c r="L63">
        <v>0</v>
      </c>
      <c r="N63" s="21">
        <v>44415.628849618057</v>
      </c>
      <c r="O63" s="21">
        <v>44415.628849618057</v>
      </c>
      <c r="P63" s="21"/>
      <c r="Q63">
        <v>0</v>
      </c>
      <c r="T63">
        <v>60</v>
      </c>
    </row>
    <row r="64" spans="1:20" x14ac:dyDescent="0.25">
      <c r="A64">
        <v>63</v>
      </c>
      <c r="B64" s="1" t="s">
        <v>868</v>
      </c>
      <c r="C64" s="1"/>
      <c r="D64" s="1" t="s">
        <v>869</v>
      </c>
      <c r="E64" s="1"/>
      <c r="F64" s="1"/>
      <c r="G64" s="1" t="s">
        <v>644</v>
      </c>
      <c r="H64" s="1" t="s">
        <v>870</v>
      </c>
      <c r="I64" s="1"/>
      <c r="J64" s="1"/>
      <c r="K64">
        <v>0</v>
      </c>
      <c r="L64">
        <v>0</v>
      </c>
      <c r="N64" s="21">
        <v>44415.628849618057</v>
      </c>
      <c r="O64" s="21">
        <v>44415.628849618057</v>
      </c>
      <c r="P64" s="21"/>
      <c r="Q64">
        <v>0</v>
      </c>
      <c r="T64">
        <v>60</v>
      </c>
    </row>
    <row r="65" spans="1:20" x14ac:dyDescent="0.25">
      <c r="A65">
        <v>64</v>
      </c>
      <c r="B65" s="1" t="s">
        <v>871</v>
      </c>
      <c r="C65" s="1"/>
      <c r="D65" s="1" t="s">
        <v>872</v>
      </c>
      <c r="E65" s="1"/>
      <c r="F65" s="1"/>
      <c r="G65" s="1" t="s">
        <v>634</v>
      </c>
      <c r="H65" s="1" t="s">
        <v>873</v>
      </c>
      <c r="I65" s="1" t="s">
        <v>568</v>
      </c>
      <c r="J65" s="1" t="s">
        <v>874</v>
      </c>
      <c r="K65">
        <v>0</v>
      </c>
      <c r="L65">
        <v>0</v>
      </c>
      <c r="N65" s="21">
        <v>44415.628849618057</v>
      </c>
      <c r="O65" s="21">
        <v>44415.628849618057</v>
      </c>
      <c r="P65" s="21"/>
      <c r="Q65">
        <v>0</v>
      </c>
      <c r="T65">
        <v>60</v>
      </c>
    </row>
    <row r="66" spans="1:20" x14ac:dyDescent="0.25">
      <c r="A66">
        <v>65</v>
      </c>
      <c r="B66" s="1" t="s">
        <v>875</v>
      </c>
      <c r="C66" s="1"/>
      <c r="D66" s="1" t="s">
        <v>876</v>
      </c>
      <c r="E66" s="1"/>
      <c r="F66" s="1"/>
      <c r="G66" s="1" t="s">
        <v>634</v>
      </c>
      <c r="H66" s="1" t="s">
        <v>877</v>
      </c>
      <c r="I66" s="1" t="s">
        <v>753</v>
      </c>
      <c r="J66" s="1" t="s">
        <v>641</v>
      </c>
      <c r="K66">
        <v>0</v>
      </c>
      <c r="L66">
        <v>0</v>
      </c>
      <c r="N66" s="21">
        <v>44415.628849618057</v>
      </c>
      <c r="O66" s="21">
        <v>44415.628849618057</v>
      </c>
      <c r="P66" s="21"/>
      <c r="Q66">
        <v>0</v>
      </c>
      <c r="T66">
        <v>60</v>
      </c>
    </row>
    <row r="67" spans="1:20" x14ac:dyDescent="0.25">
      <c r="A67">
        <v>66</v>
      </c>
      <c r="B67" s="1" t="s">
        <v>878</v>
      </c>
      <c r="C67" s="1" t="s">
        <v>879</v>
      </c>
      <c r="D67" s="1" t="s">
        <v>880</v>
      </c>
      <c r="E67" s="1"/>
      <c r="F67" s="1"/>
      <c r="G67" s="1" t="s">
        <v>634</v>
      </c>
      <c r="H67" s="1" t="s">
        <v>881</v>
      </c>
      <c r="I67" s="1" t="s">
        <v>568</v>
      </c>
      <c r="J67" s="1" t="s">
        <v>636</v>
      </c>
      <c r="K67">
        <v>0</v>
      </c>
      <c r="L67">
        <v>1</v>
      </c>
      <c r="M67">
        <v>7</v>
      </c>
      <c r="N67" s="21">
        <v>44415.628849618057</v>
      </c>
      <c r="O67" s="21">
        <v>44415.628849618057</v>
      </c>
      <c r="P67" s="21"/>
      <c r="Q67">
        <v>0</v>
      </c>
      <c r="T67">
        <v>60</v>
      </c>
    </row>
    <row r="68" spans="1:20" x14ac:dyDescent="0.25">
      <c r="A68">
        <v>67</v>
      </c>
      <c r="B68" s="1" t="s">
        <v>882</v>
      </c>
      <c r="C68" s="1"/>
      <c r="D68" s="1" t="s">
        <v>883</v>
      </c>
      <c r="E68" s="1"/>
      <c r="F68" s="1"/>
      <c r="G68" s="1" t="s">
        <v>644</v>
      </c>
      <c r="H68" s="1" t="s">
        <v>884</v>
      </c>
      <c r="I68" s="1" t="s">
        <v>690</v>
      </c>
      <c r="J68" s="1" t="s">
        <v>754</v>
      </c>
      <c r="K68">
        <v>0</v>
      </c>
      <c r="L68">
        <v>0</v>
      </c>
      <c r="N68" s="21">
        <v>44415.628849618057</v>
      </c>
      <c r="O68" s="21">
        <v>44415.628849618057</v>
      </c>
      <c r="P68" s="21"/>
      <c r="Q68">
        <v>0</v>
      </c>
      <c r="T68">
        <v>60</v>
      </c>
    </row>
    <row r="69" spans="1:20" x14ac:dyDescent="0.25">
      <c r="A69">
        <v>68</v>
      </c>
      <c r="B69" s="1" t="s">
        <v>885</v>
      </c>
      <c r="C69" s="1"/>
      <c r="D69" s="1" t="s">
        <v>886</v>
      </c>
      <c r="E69" s="1"/>
      <c r="F69" s="1"/>
      <c r="G69" s="1"/>
      <c r="H69" s="1" t="s">
        <v>887</v>
      </c>
      <c r="I69" s="1"/>
      <c r="J69" s="1"/>
      <c r="K69">
        <v>0</v>
      </c>
      <c r="L69">
        <v>0</v>
      </c>
      <c r="N69" s="21">
        <v>44415.628849618057</v>
      </c>
      <c r="O69" s="21">
        <v>44415.628849618057</v>
      </c>
      <c r="P69" s="21"/>
      <c r="Q69">
        <v>0</v>
      </c>
      <c r="T69">
        <v>60</v>
      </c>
    </row>
    <row r="70" spans="1:20" x14ac:dyDescent="0.25">
      <c r="A70">
        <v>69</v>
      </c>
      <c r="B70" s="1" t="s">
        <v>888</v>
      </c>
      <c r="C70" s="1"/>
      <c r="D70" s="1" t="s">
        <v>889</v>
      </c>
      <c r="E70" s="1"/>
      <c r="F70" s="1"/>
      <c r="G70" s="1" t="s">
        <v>644</v>
      </c>
      <c r="H70" s="1" t="s">
        <v>890</v>
      </c>
      <c r="I70" s="1"/>
      <c r="J70" s="1"/>
      <c r="K70">
        <v>0</v>
      </c>
      <c r="L70">
        <v>0</v>
      </c>
      <c r="N70" s="21">
        <v>44415.628849618057</v>
      </c>
      <c r="O70" s="21">
        <v>44415.628849618057</v>
      </c>
      <c r="P70" s="21"/>
      <c r="Q70">
        <v>0</v>
      </c>
      <c r="T70">
        <v>60</v>
      </c>
    </row>
    <row r="71" spans="1:20" x14ac:dyDescent="0.25">
      <c r="A71">
        <v>70</v>
      </c>
      <c r="B71" s="1" t="s">
        <v>891</v>
      </c>
      <c r="C71" s="1"/>
      <c r="D71" s="1" t="s">
        <v>892</v>
      </c>
      <c r="E71" s="1"/>
      <c r="F71" s="1"/>
      <c r="G71" s="1"/>
      <c r="H71" s="1" t="s">
        <v>893</v>
      </c>
      <c r="I71" s="1"/>
      <c r="J71" s="1"/>
      <c r="K71">
        <v>0</v>
      </c>
      <c r="L71">
        <v>0</v>
      </c>
      <c r="N71" s="21">
        <v>44415.628849618057</v>
      </c>
      <c r="O71" s="21">
        <v>44415.628849618057</v>
      </c>
      <c r="P71" s="21"/>
      <c r="Q71">
        <v>0</v>
      </c>
      <c r="T71">
        <v>60</v>
      </c>
    </row>
    <row r="72" spans="1:20" x14ac:dyDescent="0.25">
      <c r="A72">
        <v>71</v>
      </c>
      <c r="B72" s="1" t="s">
        <v>894</v>
      </c>
      <c r="C72" s="1"/>
      <c r="D72" s="1" t="s">
        <v>895</v>
      </c>
      <c r="E72" s="1"/>
      <c r="F72" s="1"/>
      <c r="G72" s="1"/>
      <c r="H72" s="1" t="s">
        <v>896</v>
      </c>
      <c r="I72" s="1"/>
      <c r="J72" s="1"/>
      <c r="K72">
        <v>0</v>
      </c>
      <c r="L72">
        <v>0</v>
      </c>
      <c r="N72" s="21">
        <v>44415.628849618057</v>
      </c>
      <c r="O72" s="21">
        <v>44415.628849618057</v>
      </c>
      <c r="P72" s="21"/>
      <c r="Q72">
        <v>0</v>
      </c>
      <c r="T72">
        <v>60</v>
      </c>
    </row>
    <row r="73" spans="1:20" x14ac:dyDescent="0.25">
      <c r="A73">
        <v>72</v>
      </c>
      <c r="B73" s="1" t="s">
        <v>897</v>
      </c>
      <c r="C73" s="1"/>
      <c r="D73" s="1" t="s">
        <v>898</v>
      </c>
      <c r="E73" s="1"/>
      <c r="F73" s="1"/>
      <c r="G73" s="1" t="s">
        <v>644</v>
      </c>
      <c r="H73" s="1" t="s">
        <v>899</v>
      </c>
      <c r="I73" s="1" t="s">
        <v>690</v>
      </c>
      <c r="J73" s="1" t="s">
        <v>636</v>
      </c>
      <c r="K73">
        <v>0</v>
      </c>
      <c r="L73">
        <v>0</v>
      </c>
      <c r="N73" s="21">
        <v>44415.628849618057</v>
      </c>
      <c r="O73" s="21">
        <v>44415.628849618057</v>
      </c>
      <c r="P73" s="21"/>
      <c r="Q73">
        <v>0</v>
      </c>
      <c r="T73">
        <v>60</v>
      </c>
    </row>
    <row r="74" spans="1:20" x14ac:dyDescent="0.25">
      <c r="A74">
        <v>73</v>
      </c>
      <c r="B74" s="1" t="s">
        <v>900</v>
      </c>
      <c r="C74" s="1" t="s">
        <v>901</v>
      </c>
      <c r="D74" s="1" t="s">
        <v>902</v>
      </c>
      <c r="E74" s="1"/>
      <c r="F74" s="1"/>
      <c r="G74" s="1" t="s">
        <v>634</v>
      </c>
      <c r="H74" s="1" t="s">
        <v>903</v>
      </c>
      <c r="I74" s="1" t="s">
        <v>568</v>
      </c>
      <c r="J74" s="1" t="s">
        <v>904</v>
      </c>
      <c r="K74">
        <v>0</v>
      </c>
      <c r="L74">
        <v>1</v>
      </c>
      <c r="M74">
        <v>3850</v>
      </c>
      <c r="N74" s="21">
        <v>44415.628849618057</v>
      </c>
      <c r="O74" s="21">
        <v>44415.628849618057</v>
      </c>
      <c r="P74" s="21"/>
      <c r="Q74">
        <v>0</v>
      </c>
      <c r="T74">
        <v>60</v>
      </c>
    </row>
    <row r="75" spans="1:20" x14ac:dyDescent="0.25">
      <c r="A75">
        <v>74</v>
      </c>
      <c r="B75" s="1" t="s">
        <v>905</v>
      </c>
      <c r="C75" s="1" t="s">
        <v>906</v>
      </c>
      <c r="D75" s="1" t="s">
        <v>907</v>
      </c>
      <c r="E75" s="1"/>
      <c r="F75" s="1"/>
      <c r="G75" s="1" t="s">
        <v>634</v>
      </c>
      <c r="H75" s="1" t="s">
        <v>908</v>
      </c>
      <c r="I75" s="1" t="s">
        <v>568</v>
      </c>
      <c r="J75" s="1" t="s">
        <v>867</v>
      </c>
      <c r="K75">
        <v>0</v>
      </c>
      <c r="L75">
        <v>1</v>
      </c>
      <c r="M75">
        <v>52</v>
      </c>
      <c r="N75" s="21">
        <v>44415.628849618057</v>
      </c>
      <c r="O75" s="21">
        <v>44415.628849618057</v>
      </c>
      <c r="P75" s="21"/>
      <c r="Q75">
        <v>0</v>
      </c>
      <c r="T75">
        <v>60</v>
      </c>
    </row>
    <row r="76" spans="1:20" x14ac:dyDescent="0.25">
      <c r="A76">
        <v>75</v>
      </c>
      <c r="B76" s="1" t="s">
        <v>909</v>
      </c>
      <c r="C76" s="1"/>
      <c r="D76" s="1" t="s">
        <v>910</v>
      </c>
      <c r="E76" s="1"/>
      <c r="F76" s="1"/>
      <c r="G76" s="1" t="s">
        <v>644</v>
      </c>
      <c r="H76" s="1" t="s">
        <v>911</v>
      </c>
      <c r="I76" s="1"/>
      <c r="J76" s="1"/>
      <c r="K76">
        <v>0</v>
      </c>
      <c r="L76">
        <v>0</v>
      </c>
      <c r="N76" s="21">
        <v>44415.628849618057</v>
      </c>
      <c r="O76" s="21">
        <v>44415.628849618057</v>
      </c>
      <c r="P76" s="21"/>
      <c r="Q76">
        <v>0</v>
      </c>
      <c r="T76">
        <v>60</v>
      </c>
    </row>
    <row r="77" spans="1:20" x14ac:dyDescent="0.25">
      <c r="A77">
        <v>76</v>
      </c>
      <c r="B77" s="1" t="s">
        <v>912</v>
      </c>
      <c r="C77" s="1"/>
      <c r="D77" s="1" t="s">
        <v>913</v>
      </c>
      <c r="E77" s="1" t="s">
        <v>914</v>
      </c>
      <c r="F77" s="1"/>
      <c r="G77" s="1" t="s">
        <v>634</v>
      </c>
      <c r="H77" s="1" t="s">
        <v>915</v>
      </c>
      <c r="I77" s="1" t="s">
        <v>568</v>
      </c>
      <c r="J77" s="1" t="s">
        <v>636</v>
      </c>
      <c r="K77">
        <v>0</v>
      </c>
      <c r="L77">
        <v>0</v>
      </c>
      <c r="N77" s="21">
        <v>44415.628849618057</v>
      </c>
      <c r="O77" s="21">
        <v>44415.628849618057</v>
      </c>
      <c r="P77" s="21"/>
      <c r="Q77">
        <v>0</v>
      </c>
      <c r="T77">
        <v>60</v>
      </c>
    </row>
    <row r="78" spans="1:20" x14ac:dyDescent="0.25">
      <c r="A78">
        <v>77</v>
      </c>
      <c r="B78" s="1" t="s">
        <v>916</v>
      </c>
      <c r="C78" s="1"/>
      <c r="D78" s="1" t="s">
        <v>917</v>
      </c>
      <c r="E78" s="1"/>
      <c r="F78" s="1"/>
      <c r="G78" s="1" t="s">
        <v>634</v>
      </c>
      <c r="H78" s="1" t="s">
        <v>918</v>
      </c>
      <c r="I78" s="1"/>
      <c r="J78" s="1"/>
      <c r="K78">
        <v>0</v>
      </c>
      <c r="L78">
        <v>0</v>
      </c>
      <c r="N78" s="21">
        <v>44415.628849618057</v>
      </c>
      <c r="O78" s="21">
        <v>44415.628849618057</v>
      </c>
      <c r="P78" s="21"/>
      <c r="Q78">
        <v>0</v>
      </c>
      <c r="T78">
        <v>60</v>
      </c>
    </row>
    <row r="79" spans="1:20" x14ac:dyDescent="0.25">
      <c r="A79">
        <v>78</v>
      </c>
      <c r="B79" s="1" t="s">
        <v>919</v>
      </c>
      <c r="C79" s="1"/>
      <c r="D79" s="1" t="s">
        <v>920</v>
      </c>
      <c r="E79" s="1"/>
      <c r="F79" s="1"/>
      <c r="G79" s="1" t="s">
        <v>644</v>
      </c>
      <c r="H79" s="1" t="s">
        <v>921</v>
      </c>
      <c r="I79" s="1"/>
      <c r="J79" s="1"/>
      <c r="K79">
        <v>0</v>
      </c>
      <c r="L79">
        <v>0</v>
      </c>
      <c r="N79" s="21">
        <v>44415.628849618057</v>
      </c>
      <c r="O79" s="21">
        <v>44415.628849618057</v>
      </c>
      <c r="P79" s="21"/>
      <c r="Q79">
        <v>0</v>
      </c>
      <c r="T79">
        <v>60</v>
      </c>
    </row>
    <row r="80" spans="1:20" x14ac:dyDescent="0.25">
      <c r="A80">
        <v>79</v>
      </c>
      <c r="B80" s="1" t="s">
        <v>922</v>
      </c>
      <c r="C80" s="1"/>
      <c r="D80" s="1" t="s">
        <v>923</v>
      </c>
      <c r="E80" s="1"/>
      <c r="F80" s="1"/>
      <c r="G80" s="1" t="s">
        <v>644</v>
      </c>
      <c r="H80" s="1" t="s">
        <v>924</v>
      </c>
      <c r="I80" s="1" t="s">
        <v>568</v>
      </c>
      <c r="J80" s="1" t="s">
        <v>641</v>
      </c>
      <c r="K80">
        <v>0</v>
      </c>
      <c r="L80">
        <v>0</v>
      </c>
      <c r="N80" s="21">
        <v>44415.628849618057</v>
      </c>
      <c r="O80" s="21">
        <v>44415.628849618057</v>
      </c>
      <c r="P80" s="21"/>
      <c r="Q80">
        <v>0</v>
      </c>
      <c r="T80">
        <v>60</v>
      </c>
    </row>
    <row r="81" spans="1:20" x14ac:dyDescent="0.25">
      <c r="A81">
        <v>80</v>
      </c>
      <c r="B81" s="1" t="s">
        <v>925</v>
      </c>
      <c r="C81" s="1"/>
      <c r="D81" s="1" t="s">
        <v>926</v>
      </c>
      <c r="E81" s="1"/>
      <c r="F81" s="1"/>
      <c r="G81" s="1" t="s">
        <v>634</v>
      </c>
      <c r="H81" s="1" t="s">
        <v>927</v>
      </c>
      <c r="I81" s="1" t="s">
        <v>568</v>
      </c>
      <c r="J81" s="1" t="s">
        <v>641</v>
      </c>
      <c r="K81">
        <v>0</v>
      </c>
      <c r="L81">
        <v>0</v>
      </c>
      <c r="N81" s="21">
        <v>44415.628849618057</v>
      </c>
      <c r="O81" s="21">
        <v>44415.628849618057</v>
      </c>
      <c r="P81" s="21"/>
      <c r="Q81">
        <v>0</v>
      </c>
      <c r="T81">
        <v>60</v>
      </c>
    </row>
    <row r="82" spans="1:20" x14ac:dyDescent="0.25">
      <c r="A82">
        <v>81</v>
      </c>
      <c r="B82" s="1" t="s">
        <v>928</v>
      </c>
      <c r="C82" s="1" t="s">
        <v>929</v>
      </c>
      <c r="D82" s="1" t="s">
        <v>930</v>
      </c>
      <c r="E82" s="1"/>
      <c r="F82" s="1"/>
      <c r="G82" s="1" t="s">
        <v>634</v>
      </c>
      <c r="H82" s="1" t="s">
        <v>931</v>
      </c>
      <c r="I82" s="1" t="s">
        <v>568</v>
      </c>
      <c r="J82" s="1" t="s">
        <v>641</v>
      </c>
      <c r="K82">
        <v>0</v>
      </c>
      <c r="L82">
        <v>1</v>
      </c>
      <c r="M82">
        <v>5609</v>
      </c>
      <c r="N82" s="21">
        <v>44415.628849618057</v>
      </c>
      <c r="O82" s="21">
        <v>44415.628849618057</v>
      </c>
      <c r="P82" s="21"/>
      <c r="Q82">
        <v>0</v>
      </c>
      <c r="T82">
        <v>60</v>
      </c>
    </row>
    <row r="83" spans="1:20" x14ac:dyDescent="0.25">
      <c r="A83">
        <v>82</v>
      </c>
      <c r="B83" s="1" t="s">
        <v>932</v>
      </c>
      <c r="C83" s="1"/>
      <c r="D83" s="1" t="s">
        <v>933</v>
      </c>
      <c r="E83" s="1" t="s">
        <v>934</v>
      </c>
      <c r="F83" s="1"/>
      <c r="G83" s="1" t="s">
        <v>634</v>
      </c>
      <c r="H83" s="1" t="s">
        <v>935</v>
      </c>
      <c r="I83" s="1" t="s">
        <v>568</v>
      </c>
      <c r="J83" s="1" t="s">
        <v>636</v>
      </c>
      <c r="K83">
        <v>0</v>
      </c>
      <c r="L83">
        <v>0</v>
      </c>
      <c r="N83" s="21">
        <v>44415.628849618057</v>
      </c>
      <c r="O83" s="21">
        <v>44415.628849618057</v>
      </c>
      <c r="P83" s="21"/>
      <c r="Q83">
        <v>0</v>
      </c>
      <c r="T83">
        <v>60</v>
      </c>
    </row>
    <row r="84" spans="1:20" x14ac:dyDescent="0.25">
      <c r="A84">
        <v>83</v>
      </c>
      <c r="B84" s="1" t="s">
        <v>936</v>
      </c>
      <c r="C84" s="1"/>
      <c r="D84" s="1" t="s">
        <v>937</v>
      </c>
      <c r="E84" s="1"/>
      <c r="F84" s="1"/>
      <c r="G84" s="1" t="s">
        <v>644</v>
      </c>
      <c r="H84" s="1" t="s">
        <v>938</v>
      </c>
      <c r="I84" s="1"/>
      <c r="J84" s="1"/>
      <c r="K84">
        <v>0</v>
      </c>
      <c r="L84">
        <v>0</v>
      </c>
      <c r="N84" s="21">
        <v>44415.628849618057</v>
      </c>
      <c r="O84" s="21">
        <v>44415.628849618057</v>
      </c>
      <c r="P84" s="21"/>
      <c r="Q84">
        <v>0</v>
      </c>
      <c r="T84">
        <v>60</v>
      </c>
    </row>
    <row r="85" spans="1:20" x14ac:dyDescent="0.25">
      <c r="A85">
        <v>84</v>
      </c>
      <c r="B85" s="1" t="s">
        <v>939</v>
      </c>
      <c r="C85" s="1"/>
      <c r="D85" s="1" t="s">
        <v>940</v>
      </c>
      <c r="E85" s="1"/>
      <c r="F85" s="1"/>
      <c r="G85" s="1" t="s">
        <v>644</v>
      </c>
      <c r="H85" s="1" t="s">
        <v>941</v>
      </c>
      <c r="I85" s="1" t="s">
        <v>942</v>
      </c>
      <c r="J85" s="1"/>
      <c r="K85">
        <v>0</v>
      </c>
      <c r="L85">
        <v>0</v>
      </c>
      <c r="N85" s="21">
        <v>44415.628849618057</v>
      </c>
      <c r="O85" s="21">
        <v>44415.628849618057</v>
      </c>
      <c r="P85" s="21"/>
      <c r="Q85">
        <v>0</v>
      </c>
      <c r="T85">
        <v>60</v>
      </c>
    </row>
    <row r="86" spans="1:20" x14ac:dyDescent="0.25">
      <c r="A86">
        <v>85</v>
      </c>
      <c r="B86" s="1" t="s">
        <v>943</v>
      </c>
      <c r="C86" s="1"/>
      <c r="D86" s="1" t="s">
        <v>944</v>
      </c>
      <c r="E86" s="1"/>
      <c r="F86" s="1"/>
      <c r="G86" s="1" t="s">
        <v>634</v>
      </c>
      <c r="H86" s="1" t="s">
        <v>945</v>
      </c>
      <c r="I86" s="1" t="s">
        <v>568</v>
      </c>
      <c r="J86" s="1"/>
      <c r="K86">
        <v>0</v>
      </c>
      <c r="L86">
        <v>0</v>
      </c>
      <c r="N86" s="21">
        <v>44415.628849618057</v>
      </c>
      <c r="O86" s="21">
        <v>44415.628849618057</v>
      </c>
      <c r="P86" s="21"/>
      <c r="Q86">
        <v>0</v>
      </c>
      <c r="T86">
        <v>60</v>
      </c>
    </row>
    <row r="87" spans="1:20" x14ac:dyDescent="0.25">
      <c r="A87">
        <v>86</v>
      </c>
      <c r="B87" s="1" t="s">
        <v>946</v>
      </c>
      <c r="C87" s="1"/>
      <c r="D87" s="1" t="s">
        <v>947</v>
      </c>
      <c r="E87" s="1"/>
      <c r="F87" s="1"/>
      <c r="G87" s="1" t="s">
        <v>634</v>
      </c>
      <c r="H87" s="1" t="s">
        <v>948</v>
      </c>
      <c r="I87" s="1" t="s">
        <v>568</v>
      </c>
      <c r="J87" s="1" t="s">
        <v>636</v>
      </c>
      <c r="K87">
        <v>0</v>
      </c>
      <c r="L87">
        <v>0</v>
      </c>
      <c r="N87" s="21">
        <v>44415.628849618057</v>
      </c>
      <c r="O87" s="21">
        <v>44415.628849618057</v>
      </c>
      <c r="P87" s="21"/>
      <c r="Q87">
        <v>0</v>
      </c>
      <c r="T87">
        <v>60</v>
      </c>
    </row>
    <row r="88" spans="1:20" x14ac:dyDescent="0.25">
      <c r="A88">
        <v>87</v>
      </c>
      <c r="B88" s="1" t="s">
        <v>949</v>
      </c>
      <c r="C88" s="1"/>
      <c r="D88" s="1" t="s">
        <v>950</v>
      </c>
      <c r="E88" s="1"/>
      <c r="F88" s="1"/>
      <c r="G88" s="1" t="s">
        <v>634</v>
      </c>
      <c r="H88" s="1" t="s">
        <v>951</v>
      </c>
      <c r="I88" s="1"/>
      <c r="J88" s="1"/>
      <c r="K88">
        <v>0</v>
      </c>
      <c r="L88">
        <v>0</v>
      </c>
      <c r="N88" s="21">
        <v>44415.628849618057</v>
      </c>
      <c r="O88" s="21">
        <v>44415.628849618057</v>
      </c>
      <c r="P88" s="21"/>
      <c r="Q88">
        <v>0</v>
      </c>
      <c r="T88">
        <v>60</v>
      </c>
    </row>
    <row r="89" spans="1:20" x14ac:dyDescent="0.25">
      <c r="A89">
        <v>88</v>
      </c>
      <c r="B89" s="1" t="s">
        <v>952</v>
      </c>
      <c r="C89" s="1"/>
      <c r="D89" s="1" t="s">
        <v>953</v>
      </c>
      <c r="E89" s="1"/>
      <c r="F89" s="1"/>
      <c r="G89" s="1" t="s">
        <v>644</v>
      </c>
      <c r="H89" s="1" t="s">
        <v>954</v>
      </c>
      <c r="I89" s="1"/>
      <c r="J89" s="1"/>
      <c r="K89">
        <v>0</v>
      </c>
      <c r="L89">
        <v>0</v>
      </c>
      <c r="N89" s="21">
        <v>44415.628849618057</v>
      </c>
      <c r="O89" s="21">
        <v>44415.628849618057</v>
      </c>
      <c r="P89" s="21"/>
      <c r="Q89">
        <v>0</v>
      </c>
      <c r="T89">
        <v>60</v>
      </c>
    </row>
    <row r="90" spans="1:20" x14ac:dyDescent="0.25">
      <c r="A90">
        <v>89</v>
      </c>
      <c r="B90" s="1" t="s">
        <v>955</v>
      </c>
      <c r="C90" s="1" t="s">
        <v>956</v>
      </c>
      <c r="D90" s="1" t="s">
        <v>957</v>
      </c>
      <c r="E90" s="1"/>
      <c r="F90" s="1"/>
      <c r="G90" s="1" t="s">
        <v>713</v>
      </c>
      <c r="H90" s="1" t="s">
        <v>958</v>
      </c>
      <c r="I90" s="1" t="s">
        <v>568</v>
      </c>
      <c r="J90" s="1" t="s">
        <v>641</v>
      </c>
      <c r="K90">
        <v>0</v>
      </c>
      <c r="L90">
        <v>1</v>
      </c>
      <c r="M90">
        <v>1</v>
      </c>
      <c r="N90" s="21">
        <v>44415.628849618057</v>
      </c>
      <c r="O90" s="21">
        <v>44415.628849618057</v>
      </c>
      <c r="P90" s="21"/>
      <c r="Q90">
        <v>0</v>
      </c>
      <c r="T90">
        <v>60</v>
      </c>
    </row>
    <row r="91" spans="1:20" x14ac:dyDescent="0.25">
      <c r="A91">
        <v>90</v>
      </c>
      <c r="B91" s="1" t="s">
        <v>959</v>
      </c>
      <c r="C91" s="1"/>
      <c r="D91" s="1" t="s">
        <v>960</v>
      </c>
      <c r="E91" s="1"/>
      <c r="F91" s="1"/>
      <c r="G91" s="1" t="s">
        <v>634</v>
      </c>
      <c r="H91" s="1" t="s">
        <v>961</v>
      </c>
      <c r="I91" s="1" t="s">
        <v>568</v>
      </c>
      <c r="J91" s="1" t="s">
        <v>641</v>
      </c>
      <c r="K91">
        <v>0</v>
      </c>
      <c r="L91">
        <v>0</v>
      </c>
      <c r="N91" s="21">
        <v>44415.628849618057</v>
      </c>
      <c r="O91" s="21">
        <v>44415.628849618057</v>
      </c>
      <c r="P91" s="21"/>
      <c r="Q91">
        <v>0</v>
      </c>
      <c r="T91">
        <v>60</v>
      </c>
    </row>
    <row r="92" spans="1:20" x14ac:dyDescent="0.25">
      <c r="A92">
        <v>91</v>
      </c>
      <c r="B92" s="1" t="s">
        <v>962</v>
      </c>
      <c r="C92" s="1"/>
      <c r="D92" s="1" t="s">
        <v>963</v>
      </c>
      <c r="E92" s="1"/>
      <c r="F92" s="1"/>
      <c r="G92" s="1"/>
      <c r="H92" s="1" t="s">
        <v>964</v>
      </c>
      <c r="I92" s="1"/>
      <c r="J92" s="1"/>
      <c r="K92">
        <v>0</v>
      </c>
      <c r="L92">
        <v>0</v>
      </c>
      <c r="N92" s="21">
        <v>44415.628849618057</v>
      </c>
      <c r="O92" s="21">
        <v>44415.628849618057</v>
      </c>
      <c r="P92" s="21"/>
      <c r="Q92">
        <v>0</v>
      </c>
      <c r="T92">
        <v>60</v>
      </c>
    </row>
    <row r="93" spans="1:20" x14ac:dyDescent="0.25">
      <c r="A93">
        <v>92</v>
      </c>
      <c r="B93" s="1" t="s">
        <v>965</v>
      </c>
      <c r="C93" s="1"/>
      <c r="D93" s="1" t="s">
        <v>966</v>
      </c>
      <c r="E93" s="1"/>
      <c r="F93" s="1"/>
      <c r="G93" s="1"/>
      <c r="H93" s="1" t="s">
        <v>967</v>
      </c>
      <c r="I93" s="1"/>
      <c r="J93" s="1"/>
      <c r="K93">
        <v>0</v>
      </c>
      <c r="L93">
        <v>0</v>
      </c>
      <c r="N93" s="21">
        <v>44415.628849618057</v>
      </c>
      <c r="O93" s="21">
        <v>44415.628849618057</v>
      </c>
      <c r="P93" s="21"/>
      <c r="Q93">
        <v>0</v>
      </c>
      <c r="T93">
        <v>60</v>
      </c>
    </row>
    <row r="94" spans="1:20" x14ac:dyDescent="0.25">
      <c r="A94">
        <v>93</v>
      </c>
      <c r="B94" s="1" t="s">
        <v>968</v>
      </c>
      <c r="C94" s="1"/>
      <c r="D94" s="1" t="s">
        <v>969</v>
      </c>
      <c r="E94" s="1"/>
      <c r="F94" s="1"/>
      <c r="G94" s="1" t="s">
        <v>634</v>
      </c>
      <c r="H94" s="1" t="s">
        <v>970</v>
      </c>
      <c r="I94" s="1" t="s">
        <v>568</v>
      </c>
      <c r="J94" s="1" t="s">
        <v>641</v>
      </c>
      <c r="K94">
        <v>0</v>
      </c>
      <c r="L94">
        <v>0</v>
      </c>
      <c r="N94" s="21">
        <v>44415.628849618057</v>
      </c>
      <c r="O94" s="21">
        <v>44415.628849618057</v>
      </c>
      <c r="P94" s="21"/>
      <c r="Q94">
        <v>0</v>
      </c>
      <c r="T94">
        <v>60</v>
      </c>
    </row>
    <row r="95" spans="1:20" x14ac:dyDescent="0.25">
      <c r="A95">
        <v>94</v>
      </c>
      <c r="B95" s="1" t="s">
        <v>971</v>
      </c>
      <c r="C95" s="1" t="s">
        <v>972</v>
      </c>
      <c r="D95" s="1" t="s">
        <v>973</v>
      </c>
      <c r="E95" s="1"/>
      <c r="F95" s="1"/>
      <c r="G95" s="1" t="s">
        <v>634</v>
      </c>
      <c r="H95" s="1" t="s">
        <v>974</v>
      </c>
      <c r="I95" s="1" t="s">
        <v>975</v>
      </c>
      <c r="J95" s="1" t="s">
        <v>641</v>
      </c>
      <c r="K95">
        <v>0</v>
      </c>
      <c r="L95">
        <v>1</v>
      </c>
      <c r="M95">
        <v>5391</v>
      </c>
      <c r="N95" s="21">
        <v>44415.628849618057</v>
      </c>
      <c r="O95" s="21">
        <v>44415.628849618057</v>
      </c>
      <c r="P95" s="21"/>
      <c r="Q95">
        <v>0</v>
      </c>
      <c r="T95">
        <v>60</v>
      </c>
    </row>
    <row r="96" spans="1:20" x14ac:dyDescent="0.25">
      <c r="A96">
        <v>95</v>
      </c>
      <c r="B96" s="1" t="s">
        <v>976</v>
      </c>
      <c r="C96" s="1"/>
      <c r="D96" s="1" t="s">
        <v>977</v>
      </c>
      <c r="E96" s="1"/>
      <c r="F96" s="1"/>
      <c r="G96" s="1" t="s">
        <v>644</v>
      </c>
      <c r="H96" s="1" t="s">
        <v>978</v>
      </c>
      <c r="I96" s="1" t="s">
        <v>690</v>
      </c>
      <c r="J96" s="1"/>
      <c r="K96">
        <v>0</v>
      </c>
      <c r="L96">
        <v>0</v>
      </c>
      <c r="N96" s="21">
        <v>44415.628849618057</v>
      </c>
      <c r="O96" s="21">
        <v>44415.628849618057</v>
      </c>
      <c r="P96" s="21"/>
      <c r="Q96">
        <v>0</v>
      </c>
      <c r="T96">
        <v>60</v>
      </c>
    </row>
    <row r="97" spans="1:20" x14ac:dyDescent="0.25">
      <c r="A97">
        <v>96</v>
      </c>
      <c r="B97" s="1" t="s">
        <v>979</v>
      </c>
      <c r="C97" s="1"/>
      <c r="D97" s="1" t="s">
        <v>980</v>
      </c>
      <c r="E97" s="1"/>
      <c r="F97" s="1"/>
      <c r="G97" s="1" t="s">
        <v>634</v>
      </c>
      <c r="H97" s="1" t="s">
        <v>981</v>
      </c>
      <c r="I97" s="1"/>
      <c r="J97" s="1"/>
      <c r="K97">
        <v>0</v>
      </c>
      <c r="L97">
        <v>0</v>
      </c>
      <c r="N97" s="21">
        <v>44415.628849618057</v>
      </c>
      <c r="O97" s="21">
        <v>44415.628849618057</v>
      </c>
      <c r="P97" s="21"/>
      <c r="Q97">
        <v>0</v>
      </c>
      <c r="T97">
        <v>60</v>
      </c>
    </row>
    <row r="98" spans="1:20" x14ac:dyDescent="0.25">
      <c r="A98">
        <v>97</v>
      </c>
      <c r="B98" s="1" t="s">
        <v>982</v>
      </c>
      <c r="C98" s="1"/>
      <c r="D98" s="1" t="s">
        <v>983</v>
      </c>
      <c r="E98" s="1"/>
      <c r="F98" s="1"/>
      <c r="G98" s="1" t="s">
        <v>634</v>
      </c>
      <c r="H98" s="1" t="s">
        <v>984</v>
      </c>
      <c r="I98" s="1"/>
      <c r="J98" s="1"/>
      <c r="K98">
        <v>0</v>
      </c>
      <c r="L98">
        <v>0</v>
      </c>
      <c r="N98" s="21">
        <v>44415.628849618057</v>
      </c>
      <c r="O98" s="21">
        <v>44415.628849618057</v>
      </c>
      <c r="P98" s="21"/>
      <c r="Q98">
        <v>0</v>
      </c>
      <c r="T98">
        <v>60</v>
      </c>
    </row>
    <row r="99" spans="1:20" x14ac:dyDescent="0.25">
      <c r="A99">
        <v>98</v>
      </c>
      <c r="B99" s="1" t="s">
        <v>985</v>
      </c>
      <c r="C99" s="1" t="s">
        <v>986</v>
      </c>
      <c r="D99" s="1" t="s">
        <v>987</v>
      </c>
      <c r="E99" s="1"/>
      <c r="F99" s="1"/>
      <c r="G99" s="1" t="s">
        <v>634</v>
      </c>
      <c r="H99" s="1" t="s">
        <v>988</v>
      </c>
      <c r="I99" s="1" t="s">
        <v>568</v>
      </c>
      <c r="J99" s="1" t="s">
        <v>641</v>
      </c>
      <c r="K99">
        <v>0</v>
      </c>
      <c r="L99">
        <v>1</v>
      </c>
      <c r="M99">
        <v>28</v>
      </c>
      <c r="N99" s="21">
        <v>44415.628849618057</v>
      </c>
      <c r="O99" s="21">
        <v>44415.628849618057</v>
      </c>
      <c r="P99" s="21"/>
      <c r="Q99">
        <v>0</v>
      </c>
      <c r="T99">
        <v>60</v>
      </c>
    </row>
    <row r="100" spans="1:20" x14ac:dyDescent="0.25">
      <c r="A100">
        <v>99</v>
      </c>
      <c r="B100" s="1" t="s">
        <v>989</v>
      </c>
      <c r="C100" s="1"/>
      <c r="D100" s="1" t="s">
        <v>990</v>
      </c>
      <c r="E100" s="1"/>
      <c r="F100" s="1"/>
      <c r="G100" s="1" t="s">
        <v>644</v>
      </c>
      <c r="H100" s="1" t="s">
        <v>991</v>
      </c>
      <c r="I100" s="1"/>
      <c r="J100" s="1"/>
      <c r="K100">
        <v>0</v>
      </c>
      <c r="L100">
        <v>0</v>
      </c>
      <c r="N100" s="21">
        <v>44415.628849618057</v>
      </c>
      <c r="O100" s="21">
        <v>44415.628849618057</v>
      </c>
      <c r="P100" s="21"/>
      <c r="Q100">
        <v>0</v>
      </c>
      <c r="T100">
        <v>60</v>
      </c>
    </row>
    <row r="101" spans="1:20" x14ac:dyDescent="0.25">
      <c r="A101">
        <v>100</v>
      </c>
      <c r="B101" s="1" t="s">
        <v>992</v>
      </c>
      <c r="C101" s="1"/>
      <c r="D101" s="1" t="s">
        <v>993</v>
      </c>
      <c r="E101" s="1"/>
      <c r="F101" s="1"/>
      <c r="G101" s="1" t="s">
        <v>644</v>
      </c>
      <c r="H101" s="1" t="s">
        <v>994</v>
      </c>
      <c r="I101" s="1" t="s">
        <v>995</v>
      </c>
      <c r="J101" s="1" t="s">
        <v>641</v>
      </c>
      <c r="K101">
        <v>0</v>
      </c>
      <c r="L101">
        <v>0</v>
      </c>
      <c r="N101" s="21">
        <v>44415.628849618057</v>
      </c>
      <c r="O101" s="21">
        <v>44415.628849618057</v>
      </c>
      <c r="P101" s="21"/>
      <c r="Q101">
        <v>0</v>
      </c>
      <c r="T101">
        <v>60</v>
      </c>
    </row>
    <row r="102" spans="1:20" x14ac:dyDescent="0.25">
      <c r="A102">
        <v>101</v>
      </c>
      <c r="B102" s="1" t="s">
        <v>996</v>
      </c>
      <c r="C102" s="1"/>
      <c r="D102" s="1" t="s">
        <v>997</v>
      </c>
      <c r="E102" s="1"/>
      <c r="F102" s="1"/>
      <c r="G102" s="1" t="s">
        <v>644</v>
      </c>
      <c r="H102" s="1" t="s">
        <v>998</v>
      </c>
      <c r="I102" s="1" t="s">
        <v>568</v>
      </c>
      <c r="J102" s="1" t="s">
        <v>641</v>
      </c>
      <c r="K102">
        <v>0</v>
      </c>
      <c r="L102">
        <v>0</v>
      </c>
      <c r="N102" s="21">
        <v>44415.628849618057</v>
      </c>
      <c r="O102" s="21">
        <v>44415.628849618057</v>
      </c>
      <c r="P102" s="21"/>
      <c r="Q102">
        <v>0</v>
      </c>
      <c r="T102">
        <v>60</v>
      </c>
    </row>
    <row r="103" spans="1:20" x14ac:dyDescent="0.25">
      <c r="A103">
        <v>102</v>
      </c>
      <c r="B103" s="1" t="s">
        <v>999</v>
      </c>
      <c r="C103" s="1"/>
      <c r="D103" s="1" t="s">
        <v>1000</v>
      </c>
      <c r="E103" s="1"/>
      <c r="F103" s="1"/>
      <c r="G103" s="1" t="s">
        <v>713</v>
      </c>
      <c r="H103" s="1" t="s">
        <v>1001</v>
      </c>
      <c r="I103" s="1" t="s">
        <v>568</v>
      </c>
      <c r="J103" s="1" t="s">
        <v>641</v>
      </c>
      <c r="K103">
        <v>0</v>
      </c>
      <c r="L103">
        <v>0</v>
      </c>
      <c r="N103" s="21">
        <v>44415.628849618057</v>
      </c>
      <c r="O103" s="21">
        <v>44415.628849618057</v>
      </c>
      <c r="P103" s="21"/>
      <c r="Q103">
        <v>0</v>
      </c>
      <c r="T103">
        <v>60</v>
      </c>
    </row>
    <row r="104" spans="1:20" x14ac:dyDescent="0.25">
      <c r="A104">
        <v>103</v>
      </c>
      <c r="B104" s="1" t="s">
        <v>1002</v>
      </c>
      <c r="C104" s="1" t="s">
        <v>1003</v>
      </c>
      <c r="D104" s="1" t="s">
        <v>1004</v>
      </c>
      <c r="E104" s="1"/>
      <c r="F104" s="1"/>
      <c r="G104" s="1" t="s">
        <v>644</v>
      </c>
      <c r="H104" s="1" t="s">
        <v>1005</v>
      </c>
      <c r="I104" s="1" t="s">
        <v>568</v>
      </c>
      <c r="J104" s="1" t="s">
        <v>641</v>
      </c>
      <c r="K104">
        <v>0</v>
      </c>
      <c r="L104">
        <v>1</v>
      </c>
      <c r="M104">
        <v>76</v>
      </c>
      <c r="N104" s="21">
        <v>44415.628849618057</v>
      </c>
      <c r="O104" s="21">
        <v>44415.628849618057</v>
      </c>
      <c r="P104" s="21"/>
      <c r="Q104">
        <v>0</v>
      </c>
      <c r="T104">
        <v>60</v>
      </c>
    </row>
    <row r="105" spans="1:20" x14ac:dyDescent="0.25">
      <c r="A105">
        <v>104</v>
      </c>
      <c r="B105" s="1" t="s">
        <v>1006</v>
      </c>
      <c r="C105" s="1"/>
      <c r="D105" s="1" t="s">
        <v>1007</v>
      </c>
      <c r="E105" s="1"/>
      <c r="F105" s="1"/>
      <c r="G105" s="1"/>
      <c r="H105" s="1" t="s">
        <v>1008</v>
      </c>
      <c r="I105" s="1"/>
      <c r="J105" s="1"/>
      <c r="K105">
        <v>0</v>
      </c>
      <c r="L105">
        <v>0</v>
      </c>
      <c r="N105" s="21">
        <v>44415.628849618057</v>
      </c>
      <c r="O105" s="21">
        <v>44415.628849618057</v>
      </c>
      <c r="P105" s="21"/>
      <c r="Q105">
        <v>0</v>
      </c>
      <c r="T105">
        <v>60</v>
      </c>
    </row>
    <row r="106" spans="1:20" x14ac:dyDescent="0.25">
      <c r="A106">
        <v>105</v>
      </c>
      <c r="B106" s="1" t="s">
        <v>1009</v>
      </c>
      <c r="C106" s="1" t="s">
        <v>1010</v>
      </c>
      <c r="D106" s="1" t="s">
        <v>1011</v>
      </c>
      <c r="E106" s="1"/>
      <c r="F106" s="1"/>
      <c r="G106" s="1" t="s">
        <v>644</v>
      </c>
      <c r="H106" s="1" t="s">
        <v>1012</v>
      </c>
      <c r="I106" s="1" t="s">
        <v>568</v>
      </c>
      <c r="J106" s="1" t="s">
        <v>641</v>
      </c>
      <c r="K106">
        <v>0</v>
      </c>
      <c r="L106">
        <v>1</v>
      </c>
      <c r="M106">
        <v>65</v>
      </c>
      <c r="N106" s="21">
        <v>44415.628849618057</v>
      </c>
      <c r="O106" s="21">
        <v>44415.628849618057</v>
      </c>
      <c r="P106" s="21"/>
      <c r="Q106">
        <v>0</v>
      </c>
      <c r="T106">
        <v>60</v>
      </c>
    </row>
    <row r="107" spans="1:20" x14ac:dyDescent="0.25">
      <c r="A107">
        <v>106</v>
      </c>
      <c r="B107" s="1" t="s">
        <v>1013</v>
      </c>
      <c r="C107" s="1"/>
      <c r="D107" s="1" t="s">
        <v>1014</v>
      </c>
      <c r="E107" s="1"/>
      <c r="F107" s="1"/>
      <c r="G107" s="1"/>
      <c r="H107" s="1" t="s">
        <v>1015</v>
      </c>
      <c r="I107" s="1"/>
      <c r="J107" s="1"/>
      <c r="K107">
        <v>0</v>
      </c>
      <c r="L107">
        <v>0</v>
      </c>
      <c r="N107" s="21">
        <v>44415.628849618057</v>
      </c>
      <c r="O107" s="21">
        <v>44415.628849618057</v>
      </c>
      <c r="P107" s="21"/>
      <c r="Q107">
        <v>0</v>
      </c>
      <c r="T107">
        <v>60</v>
      </c>
    </row>
    <row r="108" spans="1:20" x14ac:dyDescent="0.25">
      <c r="A108">
        <v>107</v>
      </c>
      <c r="B108" s="1" t="s">
        <v>1016</v>
      </c>
      <c r="C108" s="1" t="s">
        <v>1017</v>
      </c>
      <c r="D108" s="1" t="s">
        <v>1018</v>
      </c>
      <c r="E108" s="1"/>
      <c r="F108" s="1"/>
      <c r="G108" s="1" t="s">
        <v>634</v>
      </c>
      <c r="H108" s="1" t="s">
        <v>1019</v>
      </c>
      <c r="I108" s="1" t="s">
        <v>568</v>
      </c>
      <c r="J108" s="1" t="s">
        <v>641</v>
      </c>
      <c r="K108">
        <v>0</v>
      </c>
      <c r="L108">
        <v>1</v>
      </c>
      <c r="M108">
        <v>4549</v>
      </c>
      <c r="N108" s="21">
        <v>44415.628849618057</v>
      </c>
      <c r="O108" s="21">
        <v>44415.628849618057</v>
      </c>
      <c r="P108" s="21"/>
      <c r="Q108">
        <v>0</v>
      </c>
      <c r="T108">
        <v>60</v>
      </c>
    </row>
    <row r="109" spans="1:20" x14ac:dyDescent="0.25">
      <c r="A109">
        <v>108</v>
      </c>
      <c r="B109" s="1" t="s">
        <v>1020</v>
      </c>
      <c r="C109" s="1"/>
      <c r="D109" s="1" t="s">
        <v>1021</v>
      </c>
      <c r="E109" s="1"/>
      <c r="F109" s="1" t="s">
        <v>1022</v>
      </c>
      <c r="G109" s="1" t="s">
        <v>634</v>
      </c>
      <c r="H109" s="1" t="s">
        <v>1023</v>
      </c>
      <c r="I109" s="1" t="s">
        <v>690</v>
      </c>
      <c r="J109" s="1" t="s">
        <v>641</v>
      </c>
      <c r="K109">
        <v>0</v>
      </c>
      <c r="L109">
        <v>1</v>
      </c>
      <c r="N109" s="21">
        <v>44415.628849618057</v>
      </c>
      <c r="O109" s="21">
        <v>44415.628849618057</v>
      </c>
      <c r="P109" s="21"/>
      <c r="Q109">
        <v>0</v>
      </c>
      <c r="T109">
        <v>60</v>
      </c>
    </row>
    <row r="110" spans="1:20" x14ac:dyDescent="0.25">
      <c r="A110">
        <v>109</v>
      </c>
      <c r="B110" s="1" t="s">
        <v>1024</v>
      </c>
      <c r="C110" s="1"/>
      <c r="D110" s="1" t="s">
        <v>1025</v>
      </c>
      <c r="E110" s="1"/>
      <c r="F110" s="1"/>
      <c r="G110" s="1" t="s">
        <v>634</v>
      </c>
      <c r="H110" s="1" t="s">
        <v>1026</v>
      </c>
      <c r="I110" s="1"/>
      <c r="J110" s="1"/>
      <c r="K110">
        <v>0</v>
      </c>
      <c r="L110">
        <v>0</v>
      </c>
      <c r="N110" s="21">
        <v>44415.628849618057</v>
      </c>
      <c r="O110" s="21">
        <v>44415.628849618057</v>
      </c>
      <c r="P110" s="21"/>
      <c r="Q110">
        <v>0</v>
      </c>
      <c r="T110">
        <v>60</v>
      </c>
    </row>
    <row r="111" spans="1:20" x14ac:dyDescent="0.25">
      <c r="A111">
        <v>110</v>
      </c>
      <c r="B111" s="1" t="s">
        <v>1027</v>
      </c>
      <c r="C111" s="1"/>
      <c r="D111" s="1" t="s">
        <v>1028</v>
      </c>
      <c r="E111" s="1"/>
      <c r="F111" s="1"/>
      <c r="G111" s="1" t="s">
        <v>644</v>
      </c>
      <c r="H111" s="1" t="s">
        <v>1029</v>
      </c>
      <c r="I111" s="1" t="s">
        <v>799</v>
      </c>
      <c r="J111" s="1" t="s">
        <v>754</v>
      </c>
      <c r="K111">
        <v>0</v>
      </c>
      <c r="L111">
        <v>0</v>
      </c>
      <c r="N111" s="21">
        <v>44415.628849618057</v>
      </c>
      <c r="O111" s="21">
        <v>44415.628849618057</v>
      </c>
      <c r="P111" s="21"/>
      <c r="Q111">
        <v>0</v>
      </c>
      <c r="T111">
        <v>60</v>
      </c>
    </row>
    <row r="112" spans="1:20" x14ac:dyDescent="0.25">
      <c r="A112">
        <v>111</v>
      </c>
      <c r="B112" s="1" t="s">
        <v>1030</v>
      </c>
      <c r="C112" s="1"/>
      <c r="D112" s="1" t="s">
        <v>1031</v>
      </c>
      <c r="E112" s="1"/>
      <c r="F112" s="1"/>
      <c r="G112" s="1" t="s">
        <v>644</v>
      </c>
      <c r="H112" s="1" t="s">
        <v>1032</v>
      </c>
      <c r="I112" s="1" t="s">
        <v>1033</v>
      </c>
      <c r="J112" s="1" t="s">
        <v>641</v>
      </c>
      <c r="K112">
        <v>0</v>
      </c>
      <c r="L112">
        <v>0</v>
      </c>
      <c r="N112" s="21">
        <v>44415.628849618057</v>
      </c>
      <c r="O112" s="21">
        <v>44415.628849618057</v>
      </c>
      <c r="P112" s="21"/>
      <c r="Q112">
        <v>0</v>
      </c>
      <c r="T112">
        <v>60</v>
      </c>
    </row>
    <row r="113" spans="1:20" x14ac:dyDescent="0.25">
      <c r="A113">
        <v>112</v>
      </c>
      <c r="B113" s="1" t="s">
        <v>1034</v>
      </c>
      <c r="C113" s="1" t="s">
        <v>1035</v>
      </c>
      <c r="D113" s="1" t="s">
        <v>1036</v>
      </c>
      <c r="E113" s="1"/>
      <c r="F113" s="1"/>
      <c r="G113" s="1" t="s">
        <v>634</v>
      </c>
      <c r="H113" s="1" t="s">
        <v>1037</v>
      </c>
      <c r="I113" s="1" t="s">
        <v>568</v>
      </c>
      <c r="J113" s="1" t="s">
        <v>636</v>
      </c>
      <c r="K113">
        <v>0</v>
      </c>
      <c r="L113">
        <v>1</v>
      </c>
      <c r="M113">
        <v>83</v>
      </c>
      <c r="N113" s="21">
        <v>44415.628849618057</v>
      </c>
      <c r="O113" s="21">
        <v>44415.628849618057</v>
      </c>
      <c r="P113" s="21"/>
      <c r="Q113">
        <v>0</v>
      </c>
      <c r="T113">
        <v>60</v>
      </c>
    </row>
    <row r="114" spans="1:20" x14ac:dyDescent="0.25">
      <c r="A114">
        <v>113</v>
      </c>
      <c r="B114" s="1" t="s">
        <v>1038</v>
      </c>
      <c r="C114" s="1"/>
      <c r="D114" s="1" t="s">
        <v>1039</v>
      </c>
      <c r="E114" s="1"/>
      <c r="F114" s="1"/>
      <c r="G114" s="1" t="s">
        <v>634</v>
      </c>
      <c r="H114" s="1" t="s">
        <v>1040</v>
      </c>
      <c r="I114" s="1" t="s">
        <v>568</v>
      </c>
      <c r="J114" s="1" t="s">
        <v>754</v>
      </c>
      <c r="K114">
        <v>0</v>
      </c>
      <c r="L114">
        <v>0</v>
      </c>
      <c r="N114" s="21">
        <v>44415.628849618057</v>
      </c>
      <c r="O114" s="21">
        <v>44415.628849618057</v>
      </c>
      <c r="P114" s="21"/>
      <c r="Q114">
        <v>0</v>
      </c>
      <c r="T114">
        <v>60</v>
      </c>
    </row>
    <row r="115" spans="1:20" x14ac:dyDescent="0.25">
      <c r="A115">
        <v>114</v>
      </c>
      <c r="B115" s="1" t="s">
        <v>1041</v>
      </c>
      <c r="C115" s="1"/>
      <c r="D115" s="1" t="s">
        <v>1042</v>
      </c>
      <c r="E115" s="1"/>
      <c r="F115" s="1"/>
      <c r="G115" s="1" t="s">
        <v>634</v>
      </c>
      <c r="H115" s="1" t="s">
        <v>1043</v>
      </c>
      <c r="I115" s="1"/>
      <c r="J115" s="1"/>
      <c r="K115">
        <v>0</v>
      </c>
      <c r="L115">
        <v>0</v>
      </c>
      <c r="N115" s="21">
        <v>44415.628849618057</v>
      </c>
      <c r="O115" s="21">
        <v>44415.628849618057</v>
      </c>
      <c r="P115" s="21"/>
      <c r="Q115">
        <v>0</v>
      </c>
      <c r="T115">
        <v>60</v>
      </c>
    </row>
    <row r="116" spans="1:20" x14ac:dyDescent="0.25">
      <c r="A116">
        <v>115</v>
      </c>
      <c r="B116" s="1" t="s">
        <v>1044</v>
      </c>
      <c r="C116" s="1" t="s">
        <v>1045</v>
      </c>
      <c r="D116" s="1" t="s">
        <v>1046</v>
      </c>
      <c r="E116" s="1"/>
      <c r="F116" s="1"/>
      <c r="G116" s="1" t="s">
        <v>644</v>
      </c>
      <c r="H116" s="1" t="s">
        <v>1047</v>
      </c>
      <c r="I116" s="1" t="s">
        <v>995</v>
      </c>
      <c r="J116" s="1" t="s">
        <v>636</v>
      </c>
      <c r="K116">
        <v>0</v>
      </c>
      <c r="L116">
        <v>1</v>
      </c>
      <c r="M116">
        <v>37</v>
      </c>
      <c r="N116" s="21">
        <v>44415.628849618057</v>
      </c>
      <c r="O116" s="21">
        <v>44415.628849618057</v>
      </c>
      <c r="P116" s="21"/>
      <c r="Q116">
        <v>0</v>
      </c>
      <c r="T116">
        <v>60</v>
      </c>
    </row>
    <row r="117" spans="1:20" x14ac:dyDescent="0.25">
      <c r="A117">
        <v>116</v>
      </c>
      <c r="B117" s="1" t="s">
        <v>1048</v>
      </c>
      <c r="C117" s="1"/>
      <c r="D117" s="1" t="s">
        <v>1049</v>
      </c>
      <c r="E117" s="1"/>
      <c r="F117" s="1"/>
      <c r="G117" s="1" t="s">
        <v>634</v>
      </c>
      <c r="H117" s="1" t="s">
        <v>1050</v>
      </c>
      <c r="I117" s="1" t="s">
        <v>568</v>
      </c>
      <c r="J117" s="1" t="s">
        <v>641</v>
      </c>
      <c r="K117">
        <v>0</v>
      </c>
      <c r="L117">
        <v>0</v>
      </c>
      <c r="N117" s="21">
        <v>44415.628849618057</v>
      </c>
      <c r="O117" s="21">
        <v>44415.628849618057</v>
      </c>
      <c r="P117" s="21"/>
      <c r="Q117">
        <v>0</v>
      </c>
      <c r="T117">
        <v>60</v>
      </c>
    </row>
    <row r="118" spans="1:20" x14ac:dyDescent="0.25">
      <c r="A118">
        <v>117</v>
      </c>
      <c r="B118" s="1" t="s">
        <v>1051</v>
      </c>
      <c r="C118" s="1"/>
      <c r="D118" s="1" t="s">
        <v>1052</v>
      </c>
      <c r="E118" s="1"/>
      <c r="F118" s="1"/>
      <c r="G118" s="1"/>
      <c r="H118" s="1" t="s">
        <v>1053</v>
      </c>
      <c r="I118" s="1"/>
      <c r="J118" s="1"/>
      <c r="K118">
        <v>0</v>
      </c>
      <c r="L118">
        <v>0</v>
      </c>
      <c r="N118" s="21">
        <v>44415.628849618057</v>
      </c>
      <c r="O118" s="21">
        <v>44415.628849618057</v>
      </c>
      <c r="P118" s="21"/>
      <c r="Q118">
        <v>0</v>
      </c>
      <c r="T118">
        <v>60</v>
      </c>
    </row>
    <row r="119" spans="1:20" x14ac:dyDescent="0.25">
      <c r="A119">
        <v>118</v>
      </c>
      <c r="B119" s="1" t="s">
        <v>1054</v>
      </c>
      <c r="C119" s="1" t="s">
        <v>1055</v>
      </c>
      <c r="D119" s="1" t="s">
        <v>1056</v>
      </c>
      <c r="E119" s="1"/>
      <c r="F119" s="1" t="s">
        <v>1057</v>
      </c>
      <c r="G119" s="1" t="s">
        <v>634</v>
      </c>
      <c r="H119" s="1" t="s">
        <v>1058</v>
      </c>
      <c r="I119" s="1" t="s">
        <v>1059</v>
      </c>
      <c r="J119" s="1" t="s">
        <v>754</v>
      </c>
      <c r="K119">
        <v>0</v>
      </c>
      <c r="L119">
        <v>0</v>
      </c>
      <c r="N119" s="21">
        <v>44415.628849618057</v>
      </c>
      <c r="O119" s="21">
        <v>44415.628849618057</v>
      </c>
      <c r="P119" s="21"/>
      <c r="Q119">
        <v>0</v>
      </c>
      <c r="T119">
        <v>60</v>
      </c>
    </row>
    <row r="120" spans="1:20" x14ac:dyDescent="0.25">
      <c r="A120">
        <v>119</v>
      </c>
      <c r="B120" s="1" t="s">
        <v>1060</v>
      </c>
      <c r="C120" s="1" t="s">
        <v>1061</v>
      </c>
      <c r="D120" s="1" t="s">
        <v>1062</v>
      </c>
      <c r="E120" s="1"/>
      <c r="F120" s="1"/>
      <c r="G120" s="1"/>
      <c r="H120" s="1" t="s">
        <v>1063</v>
      </c>
      <c r="I120" s="1" t="s">
        <v>568</v>
      </c>
      <c r="J120" s="1" t="s">
        <v>641</v>
      </c>
      <c r="K120">
        <v>0</v>
      </c>
      <c r="L120">
        <v>1</v>
      </c>
      <c r="M120">
        <v>5325</v>
      </c>
      <c r="N120" s="21">
        <v>44415.628849618057</v>
      </c>
      <c r="O120" s="21">
        <v>44415.628849618057</v>
      </c>
      <c r="P120" s="21"/>
      <c r="Q120">
        <v>0</v>
      </c>
      <c r="T120">
        <v>60</v>
      </c>
    </row>
    <row r="121" spans="1:20" x14ac:dyDescent="0.25">
      <c r="A121">
        <v>120</v>
      </c>
      <c r="B121" s="1" t="s">
        <v>1064</v>
      </c>
      <c r="C121" s="1"/>
      <c r="D121" s="1" t="s">
        <v>1065</v>
      </c>
      <c r="E121" s="1"/>
      <c r="F121" s="1"/>
      <c r="G121" s="1" t="s">
        <v>634</v>
      </c>
      <c r="H121" s="1" t="s">
        <v>1066</v>
      </c>
      <c r="I121" s="1"/>
      <c r="J121" s="1"/>
      <c r="K121">
        <v>0</v>
      </c>
      <c r="L121">
        <v>0</v>
      </c>
      <c r="N121" s="21">
        <v>44415.628849618057</v>
      </c>
      <c r="O121" s="21">
        <v>44415.628849618057</v>
      </c>
      <c r="P121" s="21"/>
      <c r="Q121">
        <v>0</v>
      </c>
      <c r="T121">
        <v>60</v>
      </c>
    </row>
    <row r="122" spans="1:20" x14ac:dyDescent="0.25">
      <c r="A122">
        <v>121</v>
      </c>
      <c r="B122" s="1" t="s">
        <v>1067</v>
      </c>
      <c r="C122" s="1" t="s">
        <v>1068</v>
      </c>
      <c r="D122" s="1" t="s">
        <v>1069</v>
      </c>
      <c r="E122" s="1"/>
      <c r="F122" s="1"/>
      <c r="G122" s="1" t="s">
        <v>644</v>
      </c>
      <c r="H122" s="1" t="s">
        <v>1070</v>
      </c>
      <c r="I122" s="1" t="s">
        <v>1071</v>
      </c>
      <c r="J122" s="1" t="s">
        <v>641</v>
      </c>
      <c r="K122">
        <v>0</v>
      </c>
      <c r="L122">
        <v>1</v>
      </c>
      <c r="M122">
        <v>9</v>
      </c>
      <c r="N122" s="21">
        <v>44415.628849618057</v>
      </c>
      <c r="O122" s="21">
        <v>44415.628849618057</v>
      </c>
      <c r="P122" s="21"/>
      <c r="Q122">
        <v>0</v>
      </c>
      <c r="T122">
        <v>60</v>
      </c>
    </row>
    <row r="123" spans="1:20" x14ac:dyDescent="0.25">
      <c r="A123">
        <v>122</v>
      </c>
      <c r="B123" s="1" t="s">
        <v>1072</v>
      </c>
      <c r="C123" s="1"/>
      <c r="D123" s="1" t="s">
        <v>1073</v>
      </c>
      <c r="E123" s="1"/>
      <c r="F123" s="1"/>
      <c r="G123" s="1"/>
      <c r="H123" s="1" t="s">
        <v>1074</v>
      </c>
      <c r="I123" s="1"/>
      <c r="J123" s="1"/>
      <c r="K123">
        <v>0</v>
      </c>
      <c r="L123">
        <v>0</v>
      </c>
      <c r="N123" s="21">
        <v>44415.628849618057</v>
      </c>
      <c r="O123" s="21">
        <v>44415.628849618057</v>
      </c>
      <c r="P123" s="21"/>
      <c r="Q123">
        <v>0</v>
      </c>
      <c r="T123">
        <v>60</v>
      </c>
    </row>
    <row r="124" spans="1:20" x14ac:dyDescent="0.25">
      <c r="A124">
        <v>123</v>
      </c>
      <c r="B124" s="1" t="s">
        <v>1075</v>
      </c>
      <c r="C124" s="1"/>
      <c r="D124" s="1" t="s">
        <v>1076</v>
      </c>
      <c r="E124" s="1"/>
      <c r="F124" s="1"/>
      <c r="G124" s="1" t="s">
        <v>634</v>
      </c>
      <c r="H124" s="1" t="s">
        <v>1077</v>
      </c>
      <c r="I124" s="1" t="s">
        <v>568</v>
      </c>
      <c r="J124" s="1"/>
      <c r="K124">
        <v>0</v>
      </c>
      <c r="L124">
        <v>0</v>
      </c>
      <c r="N124" s="21">
        <v>44415.628849618057</v>
      </c>
      <c r="O124" s="21">
        <v>44415.628849618057</v>
      </c>
      <c r="P124" s="21"/>
      <c r="Q124">
        <v>0</v>
      </c>
      <c r="T124">
        <v>60</v>
      </c>
    </row>
    <row r="125" spans="1:20" x14ac:dyDescent="0.25">
      <c r="A125">
        <v>124</v>
      </c>
      <c r="B125" s="1" t="s">
        <v>1078</v>
      </c>
      <c r="C125" s="1"/>
      <c r="D125" s="1" t="s">
        <v>1079</v>
      </c>
      <c r="E125" s="1"/>
      <c r="F125" s="1"/>
      <c r="G125" s="1" t="s">
        <v>634</v>
      </c>
      <c r="H125" s="1" t="s">
        <v>1080</v>
      </c>
      <c r="I125" s="1" t="s">
        <v>568</v>
      </c>
      <c r="J125" s="1" t="s">
        <v>641</v>
      </c>
      <c r="K125">
        <v>0</v>
      </c>
      <c r="L125">
        <v>0</v>
      </c>
      <c r="N125" s="21">
        <v>44415.628849618057</v>
      </c>
      <c r="O125" s="21">
        <v>44415.628849618057</v>
      </c>
      <c r="P125" s="21"/>
      <c r="Q125">
        <v>0</v>
      </c>
      <c r="T125">
        <v>60</v>
      </c>
    </row>
    <row r="126" spans="1:20" x14ac:dyDescent="0.25">
      <c r="A126">
        <v>125</v>
      </c>
      <c r="B126" s="1" t="s">
        <v>1081</v>
      </c>
      <c r="C126" s="1"/>
      <c r="D126" s="1" t="s">
        <v>1082</v>
      </c>
      <c r="E126" s="1"/>
      <c r="F126" s="1"/>
      <c r="G126" s="1" t="s">
        <v>634</v>
      </c>
      <c r="H126" s="1" t="s">
        <v>1083</v>
      </c>
      <c r="I126" s="1" t="s">
        <v>690</v>
      </c>
      <c r="J126" s="1" t="s">
        <v>641</v>
      </c>
      <c r="K126">
        <v>0</v>
      </c>
      <c r="L126">
        <v>1</v>
      </c>
      <c r="N126" s="21">
        <v>44415.628849618057</v>
      </c>
      <c r="O126" s="21">
        <v>44415.628849618057</v>
      </c>
      <c r="P126" s="21"/>
      <c r="Q126">
        <v>0</v>
      </c>
      <c r="T126">
        <v>60</v>
      </c>
    </row>
    <row r="127" spans="1:20" x14ac:dyDescent="0.25">
      <c r="A127">
        <v>126</v>
      </c>
      <c r="B127" s="1" t="s">
        <v>1084</v>
      </c>
      <c r="C127" s="1"/>
      <c r="D127" s="1" t="s">
        <v>1085</v>
      </c>
      <c r="E127" s="1"/>
      <c r="F127" s="1"/>
      <c r="G127" s="1" t="s">
        <v>644</v>
      </c>
      <c r="H127" s="1" t="s">
        <v>1086</v>
      </c>
      <c r="I127" s="1"/>
      <c r="J127" s="1"/>
      <c r="K127">
        <v>0</v>
      </c>
      <c r="L127">
        <v>0</v>
      </c>
      <c r="N127" s="21">
        <v>44415.628849618057</v>
      </c>
      <c r="O127" s="21">
        <v>44415.628849618057</v>
      </c>
      <c r="P127" s="21"/>
      <c r="Q127">
        <v>0</v>
      </c>
      <c r="T127">
        <v>60</v>
      </c>
    </row>
    <row r="128" spans="1:20" x14ac:dyDescent="0.25">
      <c r="A128">
        <v>127</v>
      </c>
      <c r="B128" s="1" t="s">
        <v>1087</v>
      </c>
      <c r="C128" s="1"/>
      <c r="D128" s="1" t="s">
        <v>1088</v>
      </c>
      <c r="E128" s="1"/>
      <c r="F128" s="1"/>
      <c r="G128" s="1"/>
      <c r="H128" s="1" t="s">
        <v>1089</v>
      </c>
      <c r="I128" s="1"/>
      <c r="J128" s="1"/>
      <c r="K128">
        <v>0</v>
      </c>
      <c r="L128">
        <v>0</v>
      </c>
      <c r="N128" s="21">
        <v>44415.628849618057</v>
      </c>
      <c r="O128" s="21">
        <v>44415.628849618057</v>
      </c>
      <c r="P128" s="21"/>
      <c r="Q128">
        <v>0</v>
      </c>
      <c r="T128">
        <v>60</v>
      </c>
    </row>
    <row r="129" spans="1:20" x14ac:dyDescent="0.25">
      <c r="A129">
        <v>128</v>
      </c>
      <c r="B129" s="1" t="s">
        <v>1090</v>
      </c>
      <c r="C129" s="1"/>
      <c r="D129" s="1" t="s">
        <v>1091</v>
      </c>
      <c r="E129" s="1"/>
      <c r="F129" s="1"/>
      <c r="G129" s="1" t="s">
        <v>644</v>
      </c>
      <c r="H129" s="1" t="s">
        <v>1092</v>
      </c>
      <c r="I129" s="1" t="s">
        <v>690</v>
      </c>
      <c r="J129" s="1" t="s">
        <v>641</v>
      </c>
      <c r="K129">
        <v>0</v>
      </c>
      <c r="L129">
        <v>0</v>
      </c>
      <c r="N129" s="21">
        <v>44415.628849618057</v>
      </c>
      <c r="O129" s="21">
        <v>44415.628849618057</v>
      </c>
      <c r="P129" s="21"/>
      <c r="Q129">
        <v>0</v>
      </c>
      <c r="T129">
        <v>60</v>
      </c>
    </row>
    <row r="130" spans="1:20" x14ac:dyDescent="0.25">
      <c r="A130">
        <v>129</v>
      </c>
      <c r="B130" s="1" t="s">
        <v>1093</v>
      </c>
      <c r="C130" s="1" t="s">
        <v>1094</v>
      </c>
      <c r="D130" s="1" t="s">
        <v>1095</v>
      </c>
      <c r="E130" s="1"/>
      <c r="F130" s="1"/>
      <c r="G130" s="1" t="s">
        <v>644</v>
      </c>
      <c r="H130" s="1" t="s">
        <v>1096</v>
      </c>
      <c r="I130" s="1" t="s">
        <v>568</v>
      </c>
      <c r="J130" s="1" t="s">
        <v>754</v>
      </c>
      <c r="K130">
        <v>0</v>
      </c>
      <c r="L130">
        <v>1</v>
      </c>
      <c r="M130">
        <v>17</v>
      </c>
      <c r="N130" s="21">
        <v>44415.628849618057</v>
      </c>
      <c r="O130" s="21">
        <v>44415.628849618057</v>
      </c>
      <c r="P130" s="21"/>
      <c r="Q130">
        <v>0</v>
      </c>
      <c r="T130">
        <v>60</v>
      </c>
    </row>
    <row r="131" spans="1:20" x14ac:dyDescent="0.25">
      <c r="A131">
        <v>130</v>
      </c>
      <c r="B131" s="1" t="s">
        <v>1097</v>
      </c>
      <c r="C131" s="1"/>
      <c r="D131" s="1" t="s">
        <v>1098</v>
      </c>
      <c r="E131" s="1"/>
      <c r="F131" s="1"/>
      <c r="G131" s="1" t="s">
        <v>644</v>
      </c>
      <c r="H131" s="1" t="s">
        <v>1099</v>
      </c>
      <c r="I131" s="1" t="s">
        <v>1100</v>
      </c>
      <c r="J131" s="1"/>
      <c r="K131">
        <v>0</v>
      </c>
      <c r="L131">
        <v>0</v>
      </c>
      <c r="N131" s="21">
        <v>44415.628849618057</v>
      </c>
      <c r="O131" s="21">
        <v>44415.628849618057</v>
      </c>
      <c r="P131" s="21"/>
      <c r="Q131">
        <v>0</v>
      </c>
      <c r="T131">
        <v>60</v>
      </c>
    </row>
    <row r="132" spans="1:20" x14ac:dyDescent="0.25">
      <c r="A132">
        <v>131</v>
      </c>
      <c r="B132" s="1" t="s">
        <v>1101</v>
      </c>
      <c r="C132" s="1" t="s">
        <v>1102</v>
      </c>
      <c r="D132" s="1" t="s">
        <v>1103</v>
      </c>
      <c r="E132" s="1"/>
      <c r="F132" s="1"/>
      <c r="G132" s="1" t="s">
        <v>634</v>
      </c>
      <c r="H132" s="1" t="s">
        <v>1104</v>
      </c>
      <c r="I132" s="1" t="s">
        <v>568</v>
      </c>
      <c r="J132" s="1" t="s">
        <v>641</v>
      </c>
      <c r="K132">
        <v>0</v>
      </c>
      <c r="L132">
        <v>1</v>
      </c>
      <c r="M132">
        <v>4097</v>
      </c>
      <c r="N132" s="21">
        <v>44415.628849618057</v>
      </c>
      <c r="O132" s="21">
        <v>44415.628849618057</v>
      </c>
      <c r="P132" s="21"/>
      <c r="Q132">
        <v>0</v>
      </c>
      <c r="T132">
        <v>60</v>
      </c>
    </row>
    <row r="133" spans="1:20" x14ac:dyDescent="0.25">
      <c r="A133">
        <v>132</v>
      </c>
      <c r="B133" s="1" t="s">
        <v>1105</v>
      </c>
      <c r="C133" s="1" t="s">
        <v>1106</v>
      </c>
      <c r="D133" s="1" t="s">
        <v>1107</v>
      </c>
      <c r="E133" s="1"/>
      <c r="F133" s="1"/>
      <c r="G133" s="1" t="s">
        <v>644</v>
      </c>
      <c r="H133" s="1" t="s">
        <v>1108</v>
      </c>
      <c r="I133" s="1"/>
      <c r="J133" s="1" t="s">
        <v>636</v>
      </c>
      <c r="K133">
        <v>0</v>
      </c>
      <c r="L133">
        <v>1</v>
      </c>
      <c r="M133">
        <v>24</v>
      </c>
      <c r="N133" s="21">
        <v>44415.628849618057</v>
      </c>
      <c r="O133" s="21">
        <v>44415.628849618057</v>
      </c>
      <c r="P133" s="21"/>
      <c r="Q133">
        <v>0</v>
      </c>
      <c r="T133">
        <v>60</v>
      </c>
    </row>
    <row r="134" spans="1:20" x14ac:dyDescent="0.25">
      <c r="A134">
        <v>133</v>
      </c>
      <c r="B134" s="1" t="s">
        <v>1109</v>
      </c>
      <c r="C134" s="1" t="s">
        <v>1110</v>
      </c>
      <c r="D134" s="1" t="s">
        <v>1111</v>
      </c>
      <c r="E134" s="1"/>
      <c r="F134" s="1"/>
      <c r="G134" s="1" t="s">
        <v>644</v>
      </c>
      <c r="H134" s="1" t="s">
        <v>1112</v>
      </c>
      <c r="I134" s="1" t="s">
        <v>1059</v>
      </c>
      <c r="J134" s="1" t="s">
        <v>641</v>
      </c>
      <c r="K134">
        <v>0</v>
      </c>
      <c r="L134">
        <v>1</v>
      </c>
      <c r="M134">
        <v>4721</v>
      </c>
      <c r="N134" s="21">
        <v>44415.628849618057</v>
      </c>
      <c r="O134" s="21">
        <v>44415.628849618057</v>
      </c>
      <c r="P134" s="21"/>
      <c r="Q134">
        <v>0</v>
      </c>
      <c r="T134">
        <v>60</v>
      </c>
    </row>
    <row r="135" spans="1:20" x14ac:dyDescent="0.25">
      <c r="A135">
        <v>134</v>
      </c>
      <c r="B135" s="1" t="s">
        <v>1113</v>
      </c>
      <c r="C135" s="1"/>
      <c r="D135" s="1" t="s">
        <v>1114</v>
      </c>
      <c r="E135" s="1"/>
      <c r="F135" s="1"/>
      <c r="G135" s="1" t="s">
        <v>644</v>
      </c>
      <c r="H135" s="1" t="s">
        <v>1115</v>
      </c>
      <c r="I135" s="1"/>
      <c r="J135" s="1"/>
      <c r="K135">
        <v>0</v>
      </c>
      <c r="L135">
        <v>0</v>
      </c>
      <c r="N135" s="21">
        <v>44415.628849618057</v>
      </c>
      <c r="O135" s="21">
        <v>44415.628849618057</v>
      </c>
      <c r="P135" s="21"/>
      <c r="Q135">
        <v>0</v>
      </c>
      <c r="T135">
        <v>60</v>
      </c>
    </row>
    <row r="136" spans="1:20" x14ac:dyDescent="0.25">
      <c r="A136">
        <v>135</v>
      </c>
      <c r="B136" s="1" t="s">
        <v>1116</v>
      </c>
      <c r="C136" s="1"/>
      <c r="D136" s="1" t="s">
        <v>1117</v>
      </c>
      <c r="E136" s="1"/>
      <c r="F136" s="1"/>
      <c r="G136" s="1" t="s">
        <v>634</v>
      </c>
      <c r="H136" s="1" t="s">
        <v>1118</v>
      </c>
      <c r="I136" s="1"/>
      <c r="J136" s="1" t="s">
        <v>636</v>
      </c>
      <c r="K136">
        <v>0</v>
      </c>
      <c r="L136">
        <v>0</v>
      </c>
      <c r="N136" s="21">
        <v>44415.628849618057</v>
      </c>
      <c r="O136" s="21">
        <v>44415.628849618057</v>
      </c>
      <c r="P136" s="21"/>
      <c r="Q136">
        <v>0</v>
      </c>
      <c r="T136">
        <v>60</v>
      </c>
    </row>
    <row r="137" spans="1:20" x14ac:dyDescent="0.25">
      <c r="A137">
        <v>136</v>
      </c>
      <c r="B137" s="1" t="s">
        <v>1119</v>
      </c>
      <c r="C137" s="1"/>
      <c r="D137" s="1" t="s">
        <v>1120</v>
      </c>
      <c r="E137" s="1"/>
      <c r="F137" s="1"/>
      <c r="G137" s="1"/>
      <c r="H137" s="1" t="s">
        <v>1121</v>
      </c>
      <c r="I137" s="1"/>
      <c r="J137" s="1"/>
      <c r="K137">
        <v>0</v>
      </c>
      <c r="L137">
        <v>0</v>
      </c>
      <c r="N137" s="21">
        <v>44415.628849618057</v>
      </c>
      <c r="O137" s="21">
        <v>44415.628849618057</v>
      </c>
      <c r="P137" s="21"/>
      <c r="Q137">
        <v>0</v>
      </c>
      <c r="T137">
        <v>60</v>
      </c>
    </row>
    <row r="138" spans="1:20" x14ac:dyDescent="0.25">
      <c r="A138">
        <v>137</v>
      </c>
      <c r="B138" s="1" t="s">
        <v>1122</v>
      </c>
      <c r="C138" s="1"/>
      <c r="D138" s="1" t="s">
        <v>1123</v>
      </c>
      <c r="E138" s="1"/>
      <c r="F138" s="1"/>
      <c r="G138" s="1" t="s">
        <v>644</v>
      </c>
      <c r="H138" s="1" t="s">
        <v>1124</v>
      </c>
      <c r="I138" s="1" t="s">
        <v>1125</v>
      </c>
      <c r="J138" s="1"/>
      <c r="K138">
        <v>0</v>
      </c>
      <c r="L138">
        <v>0</v>
      </c>
      <c r="N138" s="21">
        <v>44415.628849618057</v>
      </c>
      <c r="O138" s="21">
        <v>44415.628849618057</v>
      </c>
      <c r="P138" s="21"/>
      <c r="Q138">
        <v>0</v>
      </c>
      <c r="T138">
        <v>60</v>
      </c>
    </row>
    <row r="139" spans="1:20" x14ac:dyDescent="0.25">
      <c r="A139">
        <v>138</v>
      </c>
      <c r="B139" s="1" t="s">
        <v>1126</v>
      </c>
      <c r="C139" s="1"/>
      <c r="D139" s="1" t="s">
        <v>1127</v>
      </c>
      <c r="E139" s="1"/>
      <c r="F139" s="1"/>
      <c r="G139" s="1"/>
      <c r="H139" s="1" t="s">
        <v>1128</v>
      </c>
      <c r="I139" s="1"/>
      <c r="J139" s="1"/>
      <c r="K139">
        <v>0</v>
      </c>
      <c r="L139">
        <v>0</v>
      </c>
      <c r="N139" s="21">
        <v>44415.628849618057</v>
      </c>
      <c r="O139" s="21">
        <v>44415.628849618057</v>
      </c>
      <c r="P139" s="21"/>
      <c r="Q139">
        <v>0</v>
      </c>
      <c r="T139">
        <v>60</v>
      </c>
    </row>
    <row r="140" spans="1:20" x14ac:dyDescent="0.25">
      <c r="A140">
        <v>139</v>
      </c>
      <c r="B140" s="1" t="s">
        <v>1129</v>
      </c>
      <c r="C140" s="1"/>
      <c r="D140" s="1" t="s">
        <v>1130</v>
      </c>
      <c r="E140" s="1"/>
      <c r="F140" s="1"/>
      <c r="G140" s="1" t="s">
        <v>644</v>
      </c>
      <c r="H140" s="1" t="s">
        <v>1131</v>
      </c>
      <c r="I140" s="1"/>
      <c r="J140" s="1"/>
      <c r="K140">
        <v>0</v>
      </c>
      <c r="L140">
        <v>0</v>
      </c>
      <c r="N140" s="21">
        <v>44415.628849618057</v>
      </c>
      <c r="O140" s="21">
        <v>44415.628849618057</v>
      </c>
      <c r="P140" s="21"/>
      <c r="Q140">
        <v>0</v>
      </c>
      <c r="T140">
        <v>60</v>
      </c>
    </row>
    <row r="141" spans="1:20" x14ac:dyDescent="0.25">
      <c r="A141">
        <v>140</v>
      </c>
      <c r="B141" s="1" t="s">
        <v>1132</v>
      </c>
      <c r="C141" s="1" t="s">
        <v>1133</v>
      </c>
      <c r="D141" s="1" t="s">
        <v>1134</v>
      </c>
      <c r="E141" s="1"/>
      <c r="F141" s="1"/>
      <c r="G141" s="1" t="s">
        <v>644</v>
      </c>
      <c r="H141" s="1" t="s">
        <v>1135</v>
      </c>
      <c r="I141" s="1" t="s">
        <v>995</v>
      </c>
      <c r="J141" s="1" t="s">
        <v>867</v>
      </c>
      <c r="K141">
        <v>0</v>
      </c>
      <c r="L141">
        <v>1</v>
      </c>
      <c r="M141">
        <v>5039</v>
      </c>
      <c r="N141" s="21">
        <v>44415.628849618057</v>
      </c>
      <c r="O141" s="21">
        <v>44415.628849618057</v>
      </c>
      <c r="P141" s="21"/>
      <c r="Q141">
        <v>0</v>
      </c>
      <c r="T141">
        <v>60</v>
      </c>
    </row>
    <row r="142" spans="1:20" x14ac:dyDescent="0.25">
      <c r="A142">
        <v>141</v>
      </c>
      <c r="B142" s="1" t="s">
        <v>1136</v>
      </c>
      <c r="C142" s="1"/>
      <c r="D142" s="1" t="s">
        <v>1137</v>
      </c>
      <c r="E142" s="1"/>
      <c r="F142" s="1"/>
      <c r="G142" s="1" t="s">
        <v>634</v>
      </c>
      <c r="H142" s="1" t="s">
        <v>1138</v>
      </c>
      <c r="I142" s="1" t="s">
        <v>568</v>
      </c>
      <c r="J142" s="1" t="s">
        <v>641</v>
      </c>
      <c r="K142">
        <v>0</v>
      </c>
      <c r="L142">
        <v>0</v>
      </c>
      <c r="N142" s="21">
        <v>44415.628849618057</v>
      </c>
      <c r="O142" s="21">
        <v>44415.628849618057</v>
      </c>
      <c r="P142" s="21"/>
      <c r="Q142">
        <v>0</v>
      </c>
      <c r="T142">
        <v>60</v>
      </c>
    </row>
    <row r="143" spans="1:20" x14ac:dyDescent="0.25">
      <c r="A143">
        <v>142</v>
      </c>
      <c r="B143" s="1" t="s">
        <v>1139</v>
      </c>
      <c r="C143" s="1"/>
      <c r="D143" s="1" t="s">
        <v>1140</v>
      </c>
      <c r="E143" s="1"/>
      <c r="F143" s="1"/>
      <c r="G143" s="1" t="s">
        <v>644</v>
      </c>
      <c r="H143" s="1" t="s">
        <v>1141</v>
      </c>
      <c r="I143" s="1" t="s">
        <v>568</v>
      </c>
      <c r="J143" s="1" t="s">
        <v>636</v>
      </c>
      <c r="K143">
        <v>0</v>
      </c>
      <c r="L143">
        <v>0</v>
      </c>
      <c r="N143" s="21">
        <v>44415.628849618057</v>
      </c>
      <c r="O143" s="21">
        <v>44415.628849618057</v>
      </c>
      <c r="P143" s="21"/>
      <c r="Q143">
        <v>0</v>
      </c>
      <c r="T143">
        <v>60</v>
      </c>
    </row>
    <row r="144" spans="1:20" x14ac:dyDescent="0.25">
      <c r="A144">
        <v>143</v>
      </c>
      <c r="B144" s="1" t="s">
        <v>1142</v>
      </c>
      <c r="C144" s="1"/>
      <c r="D144" s="1" t="s">
        <v>1143</v>
      </c>
      <c r="E144" s="1"/>
      <c r="F144" s="1"/>
      <c r="G144" s="1" t="s">
        <v>644</v>
      </c>
      <c r="H144" s="1" t="s">
        <v>1144</v>
      </c>
      <c r="I144" s="1"/>
      <c r="J144" s="1"/>
      <c r="K144">
        <v>0</v>
      </c>
      <c r="L144">
        <v>0</v>
      </c>
      <c r="N144" s="21">
        <v>44415.628849618057</v>
      </c>
      <c r="O144" s="21">
        <v>44415.628849618057</v>
      </c>
      <c r="P144" s="21"/>
      <c r="Q144">
        <v>0</v>
      </c>
      <c r="T144">
        <v>60</v>
      </c>
    </row>
    <row r="145" spans="1:20" x14ac:dyDescent="0.25">
      <c r="A145">
        <v>144</v>
      </c>
      <c r="B145" s="1" t="s">
        <v>1145</v>
      </c>
      <c r="C145" s="1"/>
      <c r="D145" s="1" t="s">
        <v>1146</v>
      </c>
      <c r="E145" s="1"/>
      <c r="F145" s="1"/>
      <c r="G145" s="1" t="s">
        <v>644</v>
      </c>
      <c r="H145" s="1" t="s">
        <v>1147</v>
      </c>
      <c r="I145" s="1" t="s">
        <v>782</v>
      </c>
      <c r="J145" s="1" t="s">
        <v>636</v>
      </c>
      <c r="K145">
        <v>0</v>
      </c>
      <c r="L145">
        <v>0</v>
      </c>
      <c r="N145" s="21">
        <v>44415.628849618057</v>
      </c>
      <c r="O145" s="21">
        <v>44415.628849618057</v>
      </c>
      <c r="P145" s="21"/>
      <c r="Q145">
        <v>0</v>
      </c>
      <c r="T145">
        <v>60</v>
      </c>
    </row>
    <row r="146" spans="1:20" x14ac:dyDescent="0.25">
      <c r="A146">
        <v>145</v>
      </c>
      <c r="B146" s="1" t="s">
        <v>1148</v>
      </c>
      <c r="C146" s="1"/>
      <c r="D146" s="1" t="s">
        <v>1149</v>
      </c>
      <c r="E146" s="1"/>
      <c r="F146" s="1"/>
      <c r="G146" s="1" t="s">
        <v>634</v>
      </c>
      <c r="H146" s="1" t="s">
        <v>1150</v>
      </c>
      <c r="I146" s="1" t="s">
        <v>782</v>
      </c>
      <c r="J146" s="1" t="s">
        <v>636</v>
      </c>
      <c r="K146">
        <v>0</v>
      </c>
      <c r="L146">
        <v>0</v>
      </c>
      <c r="N146" s="21">
        <v>44415.628849618057</v>
      </c>
      <c r="O146" s="21">
        <v>44415.628849618057</v>
      </c>
      <c r="P146" s="21"/>
      <c r="Q146">
        <v>0</v>
      </c>
      <c r="T146">
        <v>60</v>
      </c>
    </row>
    <row r="147" spans="1:20" x14ac:dyDescent="0.25">
      <c r="A147">
        <v>146</v>
      </c>
      <c r="B147" s="1" t="s">
        <v>1151</v>
      </c>
      <c r="C147" s="1"/>
      <c r="D147" s="1" t="s">
        <v>1152</v>
      </c>
      <c r="E147" s="1"/>
      <c r="F147" s="1"/>
      <c r="G147" s="1" t="s">
        <v>644</v>
      </c>
      <c r="H147" s="1" t="s">
        <v>1153</v>
      </c>
      <c r="I147" s="1"/>
      <c r="J147" s="1"/>
      <c r="K147">
        <v>0</v>
      </c>
      <c r="L147">
        <v>0</v>
      </c>
      <c r="N147" s="21">
        <v>44415.628849618057</v>
      </c>
      <c r="O147" s="21">
        <v>44415.628849618057</v>
      </c>
      <c r="P147" s="21"/>
      <c r="Q147">
        <v>0</v>
      </c>
      <c r="T147">
        <v>60</v>
      </c>
    </row>
    <row r="148" spans="1:20" x14ac:dyDescent="0.25">
      <c r="A148">
        <v>147</v>
      </c>
      <c r="B148" s="1" t="s">
        <v>1154</v>
      </c>
      <c r="C148" s="1"/>
      <c r="D148" s="1" t="s">
        <v>1155</v>
      </c>
      <c r="E148" s="1"/>
      <c r="F148" s="1"/>
      <c r="G148" s="1" t="s">
        <v>713</v>
      </c>
      <c r="H148" s="1" t="s">
        <v>1156</v>
      </c>
      <c r="I148" s="1"/>
      <c r="J148" s="1" t="s">
        <v>641</v>
      </c>
      <c r="K148">
        <v>0</v>
      </c>
      <c r="L148">
        <v>0</v>
      </c>
      <c r="N148" s="21">
        <v>44415.628849618057</v>
      </c>
      <c r="O148" s="21">
        <v>44415.628849618057</v>
      </c>
      <c r="P148" s="21"/>
      <c r="Q148">
        <v>0</v>
      </c>
      <c r="T148">
        <v>60</v>
      </c>
    </row>
    <row r="149" spans="1:20" x14ac:dyDescent="0.25">
      <c r="A149">
        <v>148</v>
      </c>
      <c r="B149" s="1" t="s">
        <v>1157</v>
      </c>
      <c r="C149" s="1"/>
      <c r="D149" s="1" t="s">
        <v>1158</v>
      </c>
      <c r="E149" s="1"/>
      <c r="F149" s="1"/>
      <c r="G149" s="1" t="s">
        <v>634</v>
      </c>
      <c r="H149" s="1" t="s">
        <v>1159</v>
      </c>
      <c r="I149" s="1"/>
      <c r="J149" s="1"/>
      <c r="K149">
        <v>0</v>
      </c>
      <c r="L149">
        <v>0</v>
      </c>
      <c r="N149" s="21">
        <v>44415.628849618057</v>
      </c>
      <c r="O149" s="21">
        <v>44415.628849618057</v>
      </c>
      <c r="P149" s="21"/>
      <c r="Q149">
        <v>0</v>
      </c>
      <c r="T149">
        <v>60</v>
      </c>
    </row>
    <row r="150" spans="1:20" x14ac:dyDescent="0.25">
      <c r="A150">
        <v>149</v>
      </c>
      <c r="B150" s="1" t="s">
        <v>1160</v>
      </c>
      <c r="C150" s="1"/>
      <c r="D150" s="1" t="s">
        <v>1161</v>
      </c>
      <c r="E150" s="1"/>
      <c r="F150" s="1"/>
      <c r="G150" s="1" t="s">
        <v>634</v>
      </c>
      <c r="H150" s="1" t="s">
        <v>1162</v>
      </c>
      <c r="I150" s="1" t="s">
        <v>1163</v>
      </c>
      <c r="J150" s="1"/>
      <c r="K150">
        <v>0</v>
      </c>
      <c r="L150">
        <v>0</v>
      </c>
      <c r="N150" s="21">
        <v>44415.628849618057</v>
      </c>
      <c r="O150" s="21">
        <v>44415.628849618057</v>
      </c>
      <c r="P150" s="21"/>
      <c r="Q150">
        <v>0</v>
      </c>
      <c r="T150">
        <v>60</v>
      </c>
    </row>
    <row r="151" spans="1:20" x14ac:dyDescent="0.25">
      <c r="A151">
        <v>150</v>
      </c>
      <c r="B151" s="1" t="s">
        <v>1164</v>
      </c>
      <c r="C151" s="1"/>
      <c r="D151" s="1" t="s">
        <v>1165</v>
      </c>
      <c r="E151" s="1"/>
      <c r="F151" s="1"/>
      <c r="G151" s="1" t="s">
        <v>644</v>
      </c>
      <c r="H151" s="1" t="s">
        <v>1166</v>
      </c>
      <c r="I151" s="1"/>
      <c r="J151" s="1"/>
      <c r="K151">
        <v>0</v>
      </c>
      <c r="L151">
        <v>0</v>
      </c>
      <c r="N151" s="21">
        <v>44415.628849618057</v>
      </c>
      <c r="O151" s="21">
        <v>44415.628849618057</v>
      </c>
      <c r="P151" s="21"/>
      <c r="Q151">
        <v>0</v>
      </c>
      <c r="T151">
        <v>60</v>
      </c>
    </row>
    <row r="152" spans="1:20" x14ac:dyDescent="0.25">
      <c r="A152">
        <v>151</v>
      </c>
      <c r="B152" s="1" t="s">
        <v>1167</v>
      </c>
      <c r="C152" s="1"/>
      <c r="D152" s="1" t="s">
        <v>1168</v>
      </c>
      <c r="E152" s="1"/>
      <c r="F152" s="1"/>
      <c r="G152" s="1"/>
      <c r="H152" s="1" t="s">
        <v>1169</v>
      </c>
      <c r="I152" s="1"/>
      <c r="J152" s="1" t="s">
        <v>641</v>
      </c>
      <c r="K152">
        <v>0</v>
      </c>
      <c r="L152">
        <v>0</v>
      </c>
      <c r="N152" s="21">
        <v>44415.628849618057</v>
      </c>
      <c r="O152" s="21">
        <v>44415.628849618057</v>
      </c>
      <c r="P152" s="21"/>
      <c r="Q152">
        <v>0</v>
      </c>
      <c r="T152">
        <v>60</v>
      </c>
    </row>
    <row r="153" spans="1:20" x14ac:dyDescent="0.25">
      <c r="A153">
        <v>152</v>
      </c>
      <c r="B153" s="1" t="s">
        <v>1170</v>
      </c>
      <c r="C153" s="1"/>
      <c r="D153" s="1" t="s">
        <v>1171</v>
      </c>
      <c r="E153" s="1"/>
      <c r="F153" s="1"/>
      <c r="G153" s="1" t="s">
        <v>644</v>
      </c>
      <c r="H153" s="1" t="s">
        <v>1172</v>
      </c>
      <c r="I153" s="1" t="s">
        <v>568</v>
      </c>
      <c r="J153" s="1" t="s">
        <v>641</v>
      </c>
      <c r="K153">
        <v>0</v>
      </c>
      <c r="L153">
        <v>0</v>
      </c>
      <c r="N153" s="21">
        <v>44415.628849618057</v>
      </c>
      <c r="O153" s="21">
        <v>44415.628849618057</v>
      </c>
      <c r="P153" s="21"/>
      <c r="Q153">
        <v>0</v>
      </c>
      <c r="T153">
        <v>60</v>
      </c>
    </row>
    <row r="154" spans="1:20" x14ac:dyDescent="0.25">
      <c r="A154">
        <v>153</v>
      </c>
      <c r="B154" s="1" t="s">
        <v>1173</v>
      </c>
      <c r="C154" s="1"/>
      <c r="D154" s="1" t="s">
        <v>1174</v>
      </c>
      <c r="E154" s="1"/>
      <c r="F154" s="1"/>
      <c r="G154" s="1" t="s">
        <v>644</v>
      </c>
      <c r="H154" s="1" t="s">
        <v>1175</v>
      </c>
      <c r="I154" s="1" t="s">
        <v>1125</v>
      </c>
      <c r="J154" s="1" t="s">
        <v>641</v>
      </c>
      <c r="K154">
        <v>0</v>
      </c>
      <c r="L154">
        <v>0</v>
      </c>
      <c r="N154" s="21">
        <v>44415.628849618057</v>
      </c>
      <c r="O154" s="21">
        <v>44415.628849618057</v>
      </c>
      <c r="P154" s="21"/>
      <c r="Q154">
        <v>0</v>
      </c>
      <c r="T154">
        <v>60</v>
      </c>
    </row>
    <row r="155" spans="1:20" x14ac:dyDescent="0.25">
      <c r="A155">
        <v>154</v>
      </c>
      <c r="B155" s="1" t="s">
        <v>1176</v>
      </c>
      <c r="C155" s="1"/>
      <c r="D155" s="1" t="s">
        <v>1177</v>
      </c>
      <c r="E155" s="1"/>
      <c r="F155" s="1"/>
      <c r="G155" s="1" t="s">
        <v>644</v>
      </c>
      <c r="H155" s="1" t="s">
        <v>1178</v>
      </c>
      <c r="I155" s="1"/>
      <c r="J155" s="1"/>
      <c r="K155">
        <v>0</v>
      </c>
      <c r="L155">
        <v>1</v>
      </c>
      <c r="N155" s="21">
        <v>44415.628849618057</v>
      </c>
      <c r="O155" s="21">
        <v>44415.628849618057</v>
      </c>
      <c r="P155" s="21"/>
      <c r="Q155">
        <v>0</v>
      </c>
      <c r="T155">
        <v>60</v>
      </c>
    </row>
    <row r="156" spans="1:20" x14ac:dyDescent="0.25">
      <c r="A156">
        <v>155</v>
      </c>
      <c r="B156" s="1" t="s">
        <v>1179</v>
      </c>
      <c r="C156" s="1"/>
      <c r="D156" s="1" t="s">
        <v>1180</v>
      </c>
      <c r="E156" s="1"/>
      <c r="F156" s="1"/>
      <c r="G156" s="1" t="s">
        <v>644</v>
      </c>
      <c r="H156" s="1" t="s">
        <v>1181</v>
      </c>
      <c r="I156" s="1"/>
      <c r="J156" s="1"/>
      <c r="K156">
        <v>0</v>
      </c>
      <c r="L156">
        <v>0</v>
      </c>
      <c r="N156" s="21">
        <v>44415.628849618057</v>
      </c>
      <c r="O156" s="21">
        <v>44415.628849618057</v>
      </c>
      <c r="P156" s="21"/>
      <c r="Q156">
        <v>0</v>
      </c>
      <c r="T156">
        <v>60</v>
      </c>
    </row>
    <row r="157" spans="1:20" x14ac:dyDescent="0.25">
      <c r="A157">
        <v>156</v>
      </c>
      <c r="B157" s="1" t="s">
        <v>1182</v>
      </c>
      <c r="C157" s="1"/>
      <c r="D157" s="1" t="s">
        <v>1183</v>
      </c>
      <c r="E157" s="1"/>
      <c r="F157" s="1"/>
      <c r="G157" s="1" t="s">
        <v>644</v>
      </c>
      <c r="H157" s="1" t="s">
        <v>1184</v>
      </c>
      <c r="I157" s="1"/>
      <c r="J157" s="1"/>
      <c r="K157">
        <v>0</v>
      </c>
      <c r="L157">
        <v>0</v>
      </c>
      <c r="N157" s="21">
        <v>44415.628849618057</v>
      </c>
      <c r="O157" s="21">
        <v>44415.628849618057</v>
      </c>
      <c r="P157" s="21"/>
      <c r="Q157">
        <v>0</v>
      </c>
      <c r="T157">
        <v>60</v>
      </c>
    </row>
    <row r="158" spans="1:20" x14ac:dyDescent="0.25">
      <c r="A158">
        <v>157</v>
      </c>
      <c r="B158" s="1" t="s">
        <v>1185</v>
      </c>
      <c r="C158" s="1"/>
      <c r="D158" s="1" t="s">
        <v>1186</v>
      </c>
      <c r="E158" s="1"/>
      <c r="F158" s="1"/>
      <c r="G158" s="1" t="s">
        <v>644</v>
      </c>
      <c r="H158" s="1" t="s">
        <v>1187</v>
      </c>
      <c r="I158" s="1"/>
      <c r="J158" s="1" t="s">
        <v>636</v>
      </c>
      <c r="K158">
        <v>0</v>
      </c>
      <c r="L158">
        <v>0</v>
      </c>
      <c r="N158" s="21">
        <v>44415.628849618057</v>
      </c>
      <c r="O158" s="21">
        <v>44415.628849618057</v>
      </c>
      <c r="P158" s="21"/>
      <c r="Q158">
        <v>0</v>
      </c>
      <c r="T158">
        <v>60</v>
      </c>
    </row>
    <row r="159" spans="1:20" x14ac:dyDescent="0.25">
      <c r="A159">
        <v>158</v>
      </c>
      <c r="B159" s="1" t="s">
        <v>1188</v>
      </c>
      <c r="C159" s="1"/>
      <c r="D159" s="1" t="s">
        <v>1189</v>
      </c>
      <c r="E159" s="1"/>
      <c r="F159" s="1"/>
      <c r="G159" s="1"/>
      <c r="H159" s="1" t="s">
        <v>1190</v>
      </c>
      <c r="I159" s="1"/>
      <c r="J159" s="1"/>
      <c r="K159">
        <v>0</v>
      </c>
      <c r="L159">
        <v>0</v>
      </c>
      <c r="N159" s="21">
        <v>44415.628849618057</v>
      </c>
      <c r="O159" s="21">
        <v>44415.628849618057</v>
      </c>
      <c r="P159" s="21"/>
      <c r="Q159">
        <v>0</v>
      </c>
      <c r="T159">
        <v>60</v>
      </c>
    </row>
    <row r="160" spans="1:20" x14ac:dyDescent="0.25">
      <c r="A160">
        <v>159</v>
      </c>
      <c r="B160" s="1" t="s">
        <v>1191</v>
      </c>
      <c r="C160" s="1"/>
      <c r="D160" s="1" t="s">
        <v>1192</v>
      </c>
      <c r="E160" s="1"/>
      <c r="F160" s="1"/>
      <c r="G160" s="1" t="s">
        <v>644</v>
      </c>
      <c r="H160" s="1" t="s">
        <v>1193</v>
      </c>
      <c r="I160" s="1"/>
      <c r="J160" s="1"/>
      <c r="K160">
        <v>0</v>
      </c>
      <c r="L160">
        <v>1</v>
      </c>
      <c r="N160" s="21">
        <v>44415.628849618057</v>
      </c>
      <c r="O160" s="21">
        <v>44415.628849618057</v>
      </c>
      <c r="P160" s="21"/>
      <c r="Q160">
        <v>0</v>
      </c>
      <c r="T160">
        <v>60</v>
      </c>
    </row>
    <row r="161" spans="1:20" x14ac:dyDescent="0.25">
      <c r="A161">
        <v>160</v>
      </c>
      <c r="B161" s="1" t="s">
        <v>1194</v>
      </c>
      <c r="C161" s="1"/>
      <c r="D161" s="1" t="s">
        <v>1195</v>
      </c>
      <c r="E161" s="1"/>
      <c r="F161" s="1"/>
      <c r="G161" s="1" t="s">
        <v>644</v>
      </c>
      <c r="H161" s="1" t="s">
        <v>1196</v>
      </c>
      <c r="I161" s="1"/>
      <c r="J161" s="1"/>
      <c r="K161">
        <v>0</v>
      </c>
      <c r="L161">
        <v>0</v>
      </c>
      <c r="N161" s="21">
        <v>44415.628849618057</v>
      </c>
      <c r="O161" s="21">
        <v>44415.628849618057</v>
      </c>
      <c r="P161" s="21"/>
      <c r="Q161">
        <v>0</v>
      </c>
      <c r="T161">
        <v>60</v>
      </c>
    </row>
    <row r="162" spans="1:20" x14ac:dyDescent="0.25">
      <c r="A162">
        <v>161</v>
      </c>
      <c r="B162" s="1" t="s">
        <v>1197</v>
      </c>
      <c r="C162" s="1"/>
      <c r="D162" s="1" t="s">
        <v>1198</v>
      </c>
      <c r="E162" s="1"/>
      <c r="F162" s="1"/>
      <c r="G162" s="1"/>
      <c r="H162" s="1" t="s">
        <v>1199</v>
      </c>
      <c r="I162" s="1"/>
      <c r="J162" s="1"/>
      <c r="K162">
        <v>0</v>
      </c>
      <c r="L162">
        <v>1</v>
      </c>
      <c r="N162" s="21">
        <v>44415.628849618057</v>
      </c>
      <c r="O162" s="21">
        <v>44415.628849618057</v>
      </c>
      <c r="P162" s="21"/>
      <c r="Q162">
        <v>0</v>
      </c>
      <c r="T162">
        <v>60</v>
      </c>
    </row>
    <row r="163" spans="1:20" x14ac:dyDescent="0.25">
      <c r="A163">
        <v>162</v>
      </c>
      <c r="B163" s="1" t="s">
        <v>1200</v>
      </c>
      <c r="C163" s="1"/>
      <c r="D163" s="1" t="s">
        <v>1201</v>
      </c>
      <c r="E163" s="1"/>
      <c r="F163" s="1"/>
      <c r="G163" s="1" t="s">
        <v>634</v>
      </c>
      <c r="H163" s="1" t="s">
        <v>1202</v>
      </c>
      <c r="I163" s="1" t="s">
        <v>568</v>
      </c>
      <c r="J163" s="1" t="s">
        <v>636</v>
      </c>
      <c r="K163">
        <v>0</v>
      </c>
      <c r="L163">
        <v>1</v>
      </c>
      <c r="N163" s="21">
        <v>44415.628849618057</v>
      </c>
      <c r="O163" s="21">
        <v>44415.628849618057</v>
      </c>
      <c r="P163" s="21"/>
      <c r="Q163">
        <v>0</v>
      </c>
      <c r="T163">
        <v>60</v>
      </c>
    </row>
    <row r="164" spans="1:20" x14ac:dyDescent="0.25">
      <c r="A164">
        <v>163</v>
      </c>
      <c r="B164" s="1" t="s">
        <v>1203</v>
      </c>
      <c r="C164" s="1"/>
      <c r="D164" s="1" t="s">
        <v>1204</v>
      </c>
      <c r="E164" s="1"/>
      <c r="F164" s="1"/>
      <c r="G164" s="1" t="s">
        <v>634</v>
      </c>
      <c r="H164" s="1" t="s">
        <v>1205</v>
      </c>
      <c r="I164" s="1"/>
      <c r="J164" s="1"/>
      <c r="K164">
        <v>0</v>
      </c>
      <c r="L164">
        <v>0</v>
      </c>
      <c r="N164" s="21">
        <v>44415.628849618057</v>
      </c>
      <c r="O164" s="21">
        <v>44415.628849618057</v>
      </c>
      <c r="P164" s="21"/>
      <c r="Q164">
        <v>0</v>
      </c>
      <c r="T164">
        <v>60</v>
      </c>
    </row>
    <row r="165" spans="1:20" x14ac:dyDescent="0.25">
      <c r="A165">
        <v>164</v>
      </c>
      <c r="B165" s="1" t="s">
        <v>1206</v>
      </c>
      <c r="C165" s="1"/>
      <c r="D165" s="1" t="s">
        <v>1207</v>
      </c>
      <c r="E165" s="1"/>
      <c r="F165" s="1"/>
      <c r="G165" s="1" t="s">
        <v>634</v>
      </c>
      <c r="H165" s="1" t="s">
        <v>1208</v>
      </c>
      <c r="I165" s="1"/>
      <c r="J165" s="1"/>
      <c r="K165">
        <v>0</v>
      </c>
      <c r="L165">
        <v>0</v>
      </c>
      <c r="N165" s="21">
        <v>44415.628849618057</v>
      </c>
      <c r="O165" s="21">
        <v>44415.628849618057</v>
      </c>
      <c r="P165" s="21"/>
      <c r="Q165">
        <v>0</v>
      </c>
      <c r="T165">
        <v>60</v>
      </c>
    </row>
    <row r="166" spans="1:20" x14ac:dyDescent="0.25">
      <c r="A166">
        <v>165</v>
      </c>
      <c r="B166" s="1" t="s">
        <v>1209</v>
      </c>
      <c r="C166" s="1"/>
      <c r="D166" s="1" t="s">
        <v>1210</v>
      </c>
      <c r="E166" s="1"/>
      <c r="F166" s="1"/>
      <c r="G166" s="1"/>
      <c r="H166" s="1" t="s">
        <v>1211</v>
      </c>
      <c r="I166" s="1"/>
      <c r="J166" s="1" t="s">
        <v>636</v>
      </c>
      <c r="K166">
        <v>0</v>
      </c>
      <c r="L166">
        <v>0</v>
      </c>
      <c r="N166" s="21">
        <v>44415.628849618057</v>
      </c>
      <c r="O166" s="21">
        <v>44415.628849618057</v>
      </c>
      <c r="P166" s="21"/>
      <c r="Q166">
        <v>0</v>
      </c>
      <c r="T166">
        <v>60</v>
      </c>
    </row>
    <row r="167" spans="1:20" x14ac:dyDescent="0.25">
      <c r="A167">
        <v>166</v>
      </c>
      <c r="B167" s="1" t="s">
        <v>1212</v>
      </c>
      <c r="C167" s="1" t="s">
        <v>1213</v>
      </c>
      <c r="D167" s="1" t="s">
        <v>1214</v>
      </c>
      <c r="E167" s="1"/>
      <c r="F167" s="1"/>
      <c r="G167" s="1" t="s">
        <v>634</v>
      </c>
      <c r="H167" s="1" t="s">
        <v>1215</v>
      </c>
      <c r="I167" s="1" t="s">
        <v>568</v>
      </c>
      <c r="J167" s="1" t="s">
        <v>636</v>
      </c>
      <c r="K167">
        <v>0</v>
      </c>
      <c r="L167">
        <v>1</v>
      </c>
      <c r="M167">
        <v>3872</v>
      </c>
      <c r="N167" s="21">
        <v>44415.628849618057</v>
      </c>
      <c r="O167" s="21">
        <v>44415.628849618057</v>
      </c>
      <c r="P167" s="21"/>
      <c r="Q167">
        <v>0</v>
      </c>
      <c r="T167">
        <v>60</v>
      </c>
    </row>
    <row r="168" spans="1:20" x14ac:dyDescent="0.25">
      <c r="A168">
        <v>167</v>
      </c>
      <c r="B168" s="1" t="s">
        <v>1216</v>
      </c>
      <c r="C168" s="1"/>
      <c r="D168" s="1" t="s">
        <v>1217</v>
      </c>
      <c r="E168" s="1"/>
      <c r="F168" s="1"/>
      <c r="G168" s="1" t="s">
        <v>644</v>
      </c>
      <c r="H168" s="1" t="s">
        <v>1218</v>
      </c>
      <c r="I168" s="1"/>
      <c r="J168" s="1" t="s">
        <v>641</v>
      </c>
      <c r="K168">
        <v>0</v>
      </c>
      <c r="L168">
        <v>0</v>
      </c>
      <c r="N168" s="21">
        <v>44415.628849618057</v>
      </c>
      <c r="O168" s="21">
        <v>44415.628849618057</v>
      </c>
      <c r="P168" s="21"/>
      <c r="Q168">
        <v>0</v>
      </c>
      <c r="T168">
        <v>60</v>
      </c>
    </row>
    <row r="169" spans="1:20" x14ac:dyDescent="0.25">
      <c r="A169">
        <v>168</v>
      </c>
      <c r="B169" s="1" t="s">
        <v>1219</v>
      </c>
      <c r="C169" s="1" t="s">
        <v>1220</v>
      </c>
      <c r="D169" s="1" t="s">
        <v>1221</v>
      </c>
      <c r="E169" s="1"/>
      <c r="F169" s="1"/>
      <c r="G169" s="1" t="s">
        <v>1222</v>
      </c>
      <c r="H169" s="1" t="s">
        <v>1223</v>
      </c>
      <c r="I169" s="1" t="s">
        <v>1224</v>
      </c>
      <c r="J169" s="1" t="s">
        <v>738</v>
      </c>
      <c r="K169">
        <v>1</v>
      </c>
      <c r="L169">
        <v>1</v>
      </c>
      <c r="N169" s="21">
        <v>44415.628849618057</v>
      </c>
      <c r="O169" s="21">
        <v>44415.628849618057</v>
      </c>
      <c r="P169" s="21"/>
      <c r="Q169">
        <v>0</v>
      </c>
      <c r="T169">
        <v>60</v>
      </c>
    </row>
    <row r="170" spans="1:20" x14ac:dyDescent="0.25">
      <c r="A170">
        <v>169</v>
      </c>
      <c r="B170" s="1" t="s">
        <v>1225</v>
      </c>
      <c r="C170" s="1"/>
      <c r="D170" s="1" t="s">
        <v>1226</v>
      </c>
      <c r="E170" s="1"/>
      <c r="F170" s="1"/>
      <c r="G170" s="1" t="s">
        <v>644</v>
      </c>
      <c r="H170" s="1" t="s">
        <v>1227</v>
      </c>
      <c r="I170" s="1" t="s">
        <v>690</v>
      </c>
      <c r="J170" s="1" t="s">
        <v>641</v>
      </c>
      <c r="K170">
        <v>0</v>
      </c>
      <c r="L170">
        <v>0</v>
      </c>
      <c r="N170" s="21">
        <v>44415.628849618057</v>
      </c>
      <c r="O170" s="21">
        <v>44415.628849618057</v>
      </c>
      <c r="P170" s="21"/>
      <c r="Q170">
        <v>0</v>
      </c>
      <c r="T170">
        <v>60</v>
      </c>
    </row>
    <row r="171" spans="1:20" x14ac:dyDescent="0.25">
      <c r="A171">
        <v>170</v>
      </c>
      <c r="B171" s="1" t="s">
        <v>1228</v>
      </c>
      <c r="C171" s="1" t="s">
        <v>1229</v>
      </c>
      <c r="D171" s="1" t="s">
        <v>1230</v>
      </c>
      <c r="E171" s="1"/>
      <c r="F171" s="1"/>
      <c r="G171" s="1" t="s">
        <v>634</v>
      </c>
      <c r="H171" s="1" t="s">
        <v>1231</v>
      </c>
      <c r="I171" s="1" t="s">
        <v>568</v>
      </c>
      <c r="J171" s="1" t="s">
        <v>641</v>
      </c>
      <c r="K171">
        <v>0</v>
      </c>
      <c r="L171">
        <v>1</v>
      </c>
      <c r="M171">
        <v>44</v>
      </c>
      <c r="N171" s="21">
        <v>44415.628849618057</v>
      </c>
      <c r="O171" s="21">
        <v>44415.628849618057</v>
      </c>
      <c r="P171" s="21"/>
      <c r="Q171">
        <v>0</v>
      </c>
      <c r="T171">
        <v>60</v>
      </c>
    </row>
    <row r="172" spans="1:20" x14ac:dyDescent="0.25">
      <c r="A172">
        <v>171</v>
      </c>
      <c r="B172" s="1" t="s">
        <v>1232</v>
      </c>
      <c r="C172" s="1"/>
      <c r="D172" s="1" t="s">
        <v>1233</v>
      </c>
      <c r="E172" s="1"/>
      <c r="F172" s="1"/>
      <c r="G172" s="1" t="s">
        <v>634</v>
      </c>
      <c r="H172" s="1" t="s">
        <v>1234</v>
      </c>
      <c r="I172" s="1"/>
      <c r="J172" s="1"/>
      <c r="K172">
        <v>0</v>
      </c>
      <c r="L172">
        <v>0</v>
      </c>
      <c r="N172" s="21">
        <v>44415.628849618057</v>
      </c>
      <c r="O172" s="21">
        <v>44415.628849618057</v>
      </c>
      <c r="P172" s="21"/>
      <c r="Q172">
        <v>0</v>
      </c>
      <c r="T172">
        <v>60</v>
      </c>
    </row>
    <row r="173" spans="1:20" x14ac:dyDescent="0.25">
      <c r="A173">
        <v>172</v>
      </c>
      <c r="B173" s="1" t="s">
        <v>1235</v>
      </c>
      <c r="C173" s="1"/>
      <c r="D173" s="1" t="s">
        <v>1236</v>
      </c>
      <c r="E173" s="1"/>
      <c r="F173" s="1"/>
      <c r="G173" s="1" t="s">
        <v>644</v>
      </c>
      <c r="H173" s="1" t="s">
        <v>1237</v>
      </c>
      <c r="I173" s="1"/>
      <c r="J173" s="1"/>
      <c r="K173">
        <v>0</v>
      </c>
      <c r="L173">
        <v>0</v>
      </c>
      <c r="N173" s="21">
        <v>44415.628849618057</v>
      </c>
      <c r="O173" s="21">
        <v>44415.628849618057</v>
      </c>
      <c r="P173" s="21"/>
      <c r="Q173">
        <v>0</v>
      </c>
      <c r="T173">
        <v>60</v>
      </c>
    </row>
    <row r="174" spans="1:20" x14ac:dyDescent="0.25">
      <c r="A174">
        <v>173</v>
      </c>
      <c r="B174" s="1" t="s">
        <v>1238</v>
      </c>
      <c r="C174" s="1"/>
      <c r="D174" s="1" t="s">
        <v>1239</v>
      </c>
      <c r="E174" s="1"/>
      <c r="F174" s="1"/>
      <c r="G174" s="1" t="s">
        <v>634</v>
      </c>
      <c r="H174" s="1" t="s">
        <v>1240</v>
      </c>
      <c r="I174" s="1" t="s">
        <v>568</v>
      </c>
      <c r="J174" s="1" t="s">
        <v>636</v>
      </c>
      <c r="K174">
        <v>0</v>
      </c>
      <c r="L174">
        <v>0</v>
      </c>
      <c r="N174" s="21">
        <v>44415.628849618057</v>
      </c>
      <c r="O174" s="21">
        <v>44415.628849618057</v>
      </c>
      <c r="P174" s="21"/>
      <c r="Q174">
        <v>0</v>
      </c>
      <c r="T174">
        <v>60</v>
      </c>
    </row>
    <row r="175" spans="1:20" x14ac:dyDescent="0.25">
      <c r="A175">
        <v>174</v>
      </c>
      <c r="B175" s="1" t="s">
        <v>1241</v>
      </c>
      <c r="C175" s="1"/>
      <c r="D175" s="1" t="s">
        <v>1242</v>
      </c>
      <c r="E175" s="1"/>
      <c r="F175" s="1"/>
      <c r="G175" s="1" t="s">
        <v>644</v>
      </c>
      <c r="H175" s="1" t="s">
        <v>1243</v>
      </c>
      <c r="I175" s="1"/>
      <c r="J175" s="1"/>
      <c r="K175">
        <v>0</v>
      </c>
      <c r="L175">
        <v>0</v>
      </c>
      <c r="N175" s="21">
        <v>44415.628849618057</v>
      </c>
      <c r="O175" s="21">
        <v>44415.628849618057</v>
      </c>
      <c r="P175" s="21"/>
      <c r="Q175">
        <v>0</v>
      </c>
      <c r="T175">
        <v>60</v>
      </c>
    </row>
    <row r="176" spans="1:20" x14ac:dyDescent="0.25">
      <c r="A176">
        <v>175</v>
      </c>
      <c r="B176" s="1" t="s">
        <v>1244</v>
      </c>
      <c r="C176" s="1" t="s">
        <v>1245</v>
      </c>
      <c r="D176" s="1" t="s">
        <v>1246</v>
      </c>
      <c r="E176" s="1"/>
      <c r="F176" s="1"/>
      <c r="G176" s="1" t="s">
        <v>634</v>
      </c>
      <c r="H176" s="1" t="s">
        <v>1247</v>
      </c>
      <c r="I176" s="1" t="s">
        <v>568</v>
      </c>
      <c r="J176" s="1" t="s">
        <v>641</v>
      </c>
      <c r="K176">
        <v>0</v>
      </c>
      <c r="L176">
        <v>1</v>
      </c>
      <c r="M176">
        <v>4776</v>
      </c>
      <c r="N176" s="21">
        <v>44415.628849618057</v>
      </c>
      <c r="O176" s="21">
        <v>44415.628849618057</v>
      </c>
      <c r="P176" s="21"/>
      <c r="Q176">
        <v>0</v>
      </c>
      <c r="T176">
        <v>60</v>
      </c>
    </row>
    <row r="177" spans="1:20" x14ac:dyDescent="0.25">
      <c r="A177">
        <v>176</v>
      </c>
      <c r="B177" s="1" t="s">
        <v>1248</v>
      </c>
      <c r="C177" s="1" t="s">
        <v>1249</v>
      </c>
      <c r="D177" s="1" t="s">
        <v>1250</v>
      </c>
      <c r="E177" s="1"/>
      <c r="F177" s="1"/>
      <c r="G177" s="1" t="s">
        <v>735</v>
      </c>
      <c r="H177" s="1" t="s">
        <v>1251</v>
      </c>
      <c r="I177" s="1" t="s">
        <v>1252</v>
      </c>
      <c r="J177" s="1" t="s">
        <v>1253</v>
      </c>
      <c r="K177">
        <v>1</v>
      </c>
      <c r="L177">
        <v>0</v>
      </c>
      <c r="N177" s="21">
        <v>44415.628849618057</v>
      </c>
      <c r="O177" s="21">
        <v>44415.628849618057</v>
      </c>
      <c r="P177" s="21"/>
      <c r="Q177">
        <v>0</v>
      </c>
      <c r="T177">
        <v>60</v>
      </c>
    </row>
    <row r="178" spans="1:20" x14ac:dyDescent="0.25">
      <c r="A178">
        <v>177</v>
      </c>
      <c r="B178" s="1" t="s">
        <v>1254</v>
      </c>
      <c r="C178" s="1"/>
      <c r="D178" s="1" t="s">
        <v>1255</v>
      </c>
      <c r="E178" s="1"/>
      <c r="F178" s="1"/>
      <c r="G178" s="1" t="s">
        <v>634</v>
      </c>
      <c r="H178" s="1" t="s">
        <v>1256</v>
      </c>
      <c r="I178" s="1" t="s">
        <v>568</v>
      </c>
      <c r="J178" s="1"/>
      <c r="K178">
        <v>0</v>
      </c>
      <c r="L178">
        <v>0</v>
      </c>
      <c r="N178" s="21">
        <v>44415.628849618057</v>
      </c>
      <c r="O178" s="21">
        <v>44415.628849618057</v>
      </c>
      <c r="P178" s="21"/>
      <c r="Q178">
        <v>0</v>
      </c>
      <c r="T178">
        <v>60</v>
      </c>
    </row>
    <row r="179" spans="1:20" x14ac:dyDescent="0.25">
      <c r="A179">
        <v>178</v>
      </c>
      <c r="B179" s="1" t="s">
        <v>1257</v>
      </c>
      <c r="C179" s="1" t="s">
        <v>1258</v>
      </c>
      <c r="D179" s="1" t="s">
        <v>1259</v>
      </c>
      <c r="E179" s="1"/>
      <c r="F179" s="1"/>
      <c r="G179" s="1" t="s">
        <v>634</v>
      </c>
      <c r="H179" s="1" t="s">
        <v>1260</v>
      </c>
      <c r="I179" s="1" t="s">
        <v>568</v>
      </c>
      <c r="J179" s="1" t="s">
        <v>636</v>
      </c>
      <c r="K179">
        <v>0</v>
      </c>
      <c r="L179">
        <v>1</v>
      </c>
      <c r="M179">
        <v>47</v>
      </c>
      <c r="N179" s="21">
        <v>44415.628849618057</v>
      </c>
      <c r="O179" s="21">
        <v>44415.628849618057</v>
      </c>
      <c r="P179" s="21"/>
      <c r="Q179">
        <v>0</v>
      </c>
      <c r="T179">
        <v>60</v>
      </c>
    </row>
    <row r="180" spans="1:20" x14ac:dyDescent="0.25">
      <c r="A180">
        <v>179</v>
      </c>
      <c r="B180" s="1" t="s">
        <v>1261</v>
      </c>
      <c r="C180" s="1" t="s">
        <v>1262</v>
      </c>
      <c r="D180" s="1" t="s">
        <v>1263</v>
      </c>
      <c r="E180" s="1"/>
      <c r="F180" s="1"/>
      <c r="G180" s="1" t="s">
        <v>634</v>
      </c>
      <c r="H180" s="1" t="s">
        <v>1264</v>
      </c>
      <c r="I180" s="1" t="s">
        <v>568</v>
      </c>
      <c r="J180" s="1" t="s">
        <v>641</v>
      </c>
      <c r="K180">
        <v>0</v>
      </c>
      <c r="L180">
        <v>1</v>
      </c>
      <c r="M180">
        <v>3876</v>
      </c>
      <c r="N180" s="21">
        <v>44415.628849618057</v>
      </c>
      <c r="O180" s="21">
        <v>44415.628849618057</v>
      </c>
      <c r="P180" s="21"/>
      <c r="Q180">
        <v>0</v>
      </c>
      <c r="T180">
        <v>60</v>
      </c>
    </row>
    <row r="181" spans="1:20" x14ac:dyDescent="0.25">
      <c r="A181">
        <v>180</v>
      </c>
      <c r="B181" s="1" t="s">
        <v>1265</v>
      </c>
      <c r="C181" s="1"/>
      <c r="D181" s="1" t="s">
        <v>1266</v>
      </c>
      <c r="E181" s="1"/>
      <c r="F181" s="1"/>
      <c r="G181" s="1"/>
      <c r="H181" s="1" t="s">
        <v>1267</v>
      </c>
      <c r="I181" s="1"/>
      <c r="J181" s="1"/>
      <c r="K181">
        <v>0</v>
      </c>
      <c r="L181">
        <v>0</v>
      </c>
      <c r="N181" s="21">
        <v>44415.628849618057</v>
      </c>
      <c r="O181" s="21">
        <v>44415.628849618057</v>
      </c>
      <c r="P181" s="21"/>
      <c r="Q181">
        <v>0</v>
      </c>
      <c r="T181">
        <v>60</v>
      </c>
    </row>
    <row r="182" spans="1:20" x14ac:dyDescent="0.25">
      <c r="A182">
        <v>181</v>
      </c>
      <c r="B182" s="1" t="s">
        <v>1268</v>
      </c>
      <c r="C182" s="1"/>
      <c r="D182" s="1" t="s">
        <v>1269</v>
      </c>
      <c r="E182" s="1"/>
      <c r="F182" s="1"/>
      <c r="G182" s="1"/>
      <c r="H182" s="1" t="s">
        <v>1267</v>
      </c>
      <c r="I182" s="1"/>
      <c r="J182" s="1"/>
      <c r="K182">
        <v>0</v>
      </c>
      <c r="L182">
        <v>1</v>
      </c>
      <c r="N182" s="21">
        <v>44415.628849618057</v>
      </c>
      <c r="O182" s="21">
        <v>44415.628849618057</v>
      </c>
      <c r="P182" s="21"/>
      <c r="Q182">
        <v>0</v>
      </c>
      <c r="T182">
        <v>60</v>
      </c>
    </row>
    <row r="183" spans="1:20" x14ac:dyDescent="0.25">
      <c r="A183">
        <v>182</v>
      </c>
      <c r="B183" s="1" t="s">
        <v>1270</v>
      </c>
      <c r="C183" s="1" t="s">
        <v>1271</v>
      </c>
      <c r="D183" s="1" t="s">
        <v>1272</v>
      </c>
      <c r="E183" s="1"/>
      <c r="F183" s="1"/>
      <c r="G183" s="1" t="s">
        <v>634</v>
      </c>
      <c r="H183" s="1" t="s">
        <v>1273</v>
      </c>
      <c r="I183" s="1" t="s">
        <v>568</v>
      </c>
      <c r="J183" s="1" t="s">
        <v>636</v>
      </c>
      <c r="K183">
        <v>0</v>
      </c>
      <c r="L183">
        <v>1</v>
      </c>
      <c r="M183">
        <v>29</v>
      </c>
      <c r="N183" s="21">
        <v>44415.628849618057</v>
      </c>
      <c r="O183" s="21">
        <v>44415.628849618057</v>
      </c>
      <c r="P183" s="21"/>
      <c r="Q183">
        <v>0</v>
      </c>
      <c r="T183">
        <v>60</v>
      </c>
    </row>
    <row r="184" spans="1:20" x14ac:dyDescent="0.25">
      <c r="A184">
        <v>183</v>
      </c>
      <c r="B184" s="1" t="s">
        <v>1274</v>
      </c>
      <c r="C184" s="1"/>
      <c r="D184" s="1" t="s">
        <v>1275</v>
      </c>
      <c r="E184" s="1"/>
      <c r="F184" s="1"/>
      <c r="G184" s="1" t="s">
        <v>644</v>
      </c>
      <c r="H184" s="1" t="s">
        <v>1276</v>
      </c>
      <c r="I184" s="1" t="s">
        <v>568</v>
      </c>
      <c r="J184" s="1" t="s">
        <v>636</v>
      </c>
      <c r="K184">
        <v>0</v>
      </c>
      <c r="L184">
        <v>0</v>
      </c>
      <c r="N184" s="21">
        <v>44415.628849618057</v>
      </c>
      <c r="O184" s="21">
        <v>44415.628849618057</v>
      </c>
      <c r="P184" s="21"/>
      <c r="Q184">
        <v>0</v>
      </c>
      <c r="T184">
        <v>60</v>
      </c>
    </row>
    <row r="185" spans="1:20" x14ac:dyDescent="0.25">
      <c r="A185">
        <v>184</v>
      </c>
      <c r="B185" s="1" t="s">
        <v>1277</v>
      </c>
      <c r="C185" s="1" t="s">
        <v>1278</v>
      </c>
      <c r="D185" s="1" t="s">
        <v>1279</v>
      </c>
      <c r="E185" s="1"/>
      <c r="F185" s="1"/>
      <c r="G185" s="1" t="s">
        <v>634</v>
      </c>
      <c r="H185" s="1" t="s">
        <v>1280</v>
      </c>
      <c r="I185" s="1" t="s">
        <v>859</v>
      </c>
      <c r="J185" s="1" t="s">
        <v>636</v>
      </c>
      <c r="K185">
        <v>0</v>
      </c>
      <c r="L185">
        <v>1</v>
      </c>
      <c r="M185">
        <v>113</v>
      </c>
      <c r="N185" s="21">
        <v>44415.628849618057</v>
      </c>
      <c r="O185" s="21">
        <v>44415.628849618057</v>
      </c>
      <c r="P185" s="21"/>
      <c r="Q185">
        <v>0</v>
      </c>
      <c r="T185">
        <v>60</v>
      </c>
    </row>
    <row r="186" spans="1:20" x14ac:dyDescent="0.25">
      <c r="A186">
        <v>185</v>
      </c>
      <c r="B186" s="1" t="s">
        <v>1281</v>
      </c>
      <c r="C186" s="1"/>
      <c r="D186" s="1" t="s">
        <v>1282</v>
      </c>
      <c r="E186" s="1"/>
      <c r="F186" s="1"/>
      <c r="G186" s="1" t="s">
        <v>644</v>
      </c>
      <c r="H186" s="1" t="s">
        <v>1283</v>
      </c>
      <c r="I186" s="1"/>
      <c r="J186" s="1"/>
      <c r="K186">
        <v>0</v>
      </c>
      <c r="L186">
        <v>0</v>
      </c>
      <c r="N186" s="21">
        <v>44415.628849618057</v>
      </c>
      <c r="O186" s="21">
        <v>44415.628849618057</v>
      </c>
      <c r="P186" s="21"/>
      <c r="Q186">
        <v>0</v>
      </c>
      <c r="T186">
        <v>60</v>
      </c>
    </row>
    <row r="187" spans="1:20" x14ac:dyDescent="0.25">
      <c r="A187">
        <v>186</v>
      </c>
      <c r="B187" s="1" t="s">
        <v>1284</v>
      </c>
      <c r="C187" s="1" t="s">
        <v>1285</v>
      </c>
      <c r="D187" s="1" t="s">
        <v>1286</v>
      </c>
      <c r="E187" s="1"/>
      <c r="F187" s="1"/>
      <c r="G187" s="1" t="s">
        <v>634</v>
      </c>
      <c r="H187" s="1" t="s">
        <v>1287</v>
      </c>
      <c r="I187" s="1" t="s">
        <v>568</v>
      </c>
      <c r="J187" s="1" t="s">
        <v>636</v>
      </c>
      <c r="K187">
        <v>0</v>
      </c>
      <c r="L187">
        <v>1</v>
      </c>
      <c r="M187">
        <v>101</v>
      </c>
      <c r="N187" s="21">
        <v>44415.628849618057</v>
      </c>
      <c r="O187" s="21">
        <v>44415.628849618057</v>
      </c>
      <c r="P187" s="21"/>
      <c r="Q187">
        <v>0</v>
      </c>
      <c r="T187">
        <v>60</v>
      </c>
    </row>
    <row r="188" spans="1:20" x14ac:dyDescent="0.25">
      <c r="A188">
        <v>187</v>
      </c>
      <c r="B188" s="1" t="s">
        <v>1288</v>
      </c>
      <c r="C188" s="1" t="s">
        <v>1289</v>
      </c>
      <c r="D188" s="1" t="s">
        <v>1290</v>
      </c>
      <c r="E188" s="1"/>
      <c r="F188" s="1"/>
      <c r="G188" s="1" t="s">
        <v>644</v>
      </c>
      <c r="H188" s="1" t="s">
        <v>1291</v>
      </c>
      <c r="I188" s="1" t="s">
        <v>995</v>
      </c>
      <c r="J188" s="1" t="s">
        <v>754</v>
      </c>
      <c r="K188">
        <v>0</v>
      </c>
      <c r="L188">
        <v>1</v>
      </c>
      <c r="M188">
        <v>535</v>
      </c>
      <c r="N188" s="21">
        <v>44415.628849618057</v>
      </c>
      <c r="O188" s="21">
        <v>44415.628849618057</v>
      </c>
      <c r="P188" s="21"/>
      <c r="Q188">
        <v>0</v>
      </c>
      <c r="T188">
        <v>60</v>
      </c>
    </row>
    <row r="189" spans="1:20" x14ac:dyDescent="0.25">
      <c r="A189">
        <v>188</v>
      </c>
      <c r="B189" s="1" t="s">
        <v>1292</v>
      </c>
      <c r="C189" s="1"/>
      <c r="D189" s="1" t="s">
        <v>1293</v>
      </c>
      <c r="E189" s="1"/>
      <c r="F189" s="1"/>
      <c r="G189" s="1" t="s">
        <v>634</v>
      </c>
      <c r="H189" s="1" t="s">
        <v>1294</v>
      </c>
      <c r="I189" s="1" t="s">
        <v>568</v>
      </c>
      <c r="J189" s="1" t="s">
        <v>641</v>
      </c>
      <c r="K189">
        <v>0</v>
      </c>
      <c r="L189">
        <v>0</v>
      </c>
      <c r="N189" s="21">
        <v>44415.628849618057</v>
      </c>
      <c r="O189" s="21">
        <v>44415.628849618057</v>
      </c>
      <c r="P189" s="21"/>
      <c r="Q189">
        <v>0</v>
      </c>
      <c r="T189">
        <v>60</v>
      </c>
    </row>
    <row r="190" spans="1:20" x14ac:dyDescent="0.25">
      <c r="A190">
        <v>189</v>
      </c>
      <c r="B190" s="1" t="s">
        <v>1295</v>
      </c>
      <c r="C190" s="1"/>
      <c r="D190" s="1" t="s">
        <v>1296</v>
      </c>
      <c r="E190" s="1"/>
      <c r="F190" s="1"/>
      <c r="G190" s="1" t="s">
        <v>644</v>
      </c>
      <c r="H190" s="1" t="s">
        <v>1297</v>
      </c>
      <c r="I190" s="1"/>
      <c r="J190" s="1"/>
      <c r="K190">
        <v>0</v>
      </c>
      <c r="L190">
        <v>0</v>
      </c>
      <c r="N190" s="21">
        <v>44415.628849618057</v>
      </c>
      <c r="O190" s="21">
        <v>44415.628849618057</v>
      </c>
      <c r="P190" s="21"/>
      <c r="Q190">
        <v>0</v>
      </c>
      <c r="T190">
        <v>60</v>
      </c>
    </row>
    <row r="191" spans="1:20" x14ac:dyDescent="0.25">
      <c r="A191">
        <v>190</v>
      </c>
      <c r="B191" s="1" t="s">
        <v>1298</v>
      </c>
      <c r="C191" s="1"/>
      <c r="D191" s="1" t="s">
        <v>1299</v>
      </c>
      <c r="E191" s="1"/>
      <c r="F191" s="1"/>
      <c r="G191" s="1" t="s">
        <v>634</v>
      </c>
      <c r="H191" s="1" t="s">
        <v>1300</v>
      </c>
      <c r="I191" s="1"/>
      <c r="J191" s="1"/>
      <c r="K191">
        <v>0</v>
      </c>
      <c r="L191">
        <v>0</v>
      </c>
      <c r="N191" s="21">
        <v>44415.628849618057</v>
      </c>
      <c r="O191" s="21">
        <v>44415.628849618057</v>
      </c>
      <c r="P191" s="21"/>
      <c r="Q191">
        <v>0</v>
      </c>
      <c r="T191">
        <v>60</v>
      </c>
    </row>
    <row r="192" spans="1:20" x14ac:dyDescent="0.25">
      <c r="A192">
        <v>191</v>
      </c>
      <c r="B192" s="1" t="s">
        <v>1301</v>
      </c>
      <c r="C192" s="1" t="s">
        <v>1302</v>
      </c>
      <c r="D192" s="1" t="s">
        <v>1303</v>
      </c>
      <c r="E192" s="1"/>
      <c r="F192" s="1"/>
      <c r="G192" s="1" t="s">
        <v>634</v>
      </c>
      <c r="H192" s="1" t="s">
        <v>1304</v>
      </c>
      <c r="I192" s="1" t="s">
        <v>568</v>
      </c>
      <c r="J192" s="1" t="s">
        <v>641</v>
      </c>
      <c r="K192">
        <v>0</v>
      </c>
      <c r="L192">
        <v>1</v>
      </c>
      <c r="M192">
        <v>57</v>
      </c>
      <c r="N192" s="21">
        <v>44415.628849618057</v>
      </c>
      <c r="O192" s="21">
        <v>44415.628849618057</v>
      </c>
      <c r="P192" s="21"/>
      <c r="Q192">
        <v>0</v>
      </c>
      <c r="T192">
        <v>60</v>
      </c>
    </row>
    <row r="193" spans="1:20" x14ac:dyDescent="0.25">
      <c r="A193">
        <v>192</v>
      </c>
      <c r="B193" s="1" t="s">
        <v>1305</v>
      </c>
      <c r="C193" s="1"/>
      <c r="D193" s="1" t="s">
        <v>1306</v>
      </c>
      <c r="E193" s="1"/>
      <c r="F193" s="1"/>
      <c r="G193" s="1" t="s">
        <v>634</v>
      </c>
      <c r="H193" s="1" t="s">
        <v>1307</v>
      </c>
      <c r="I193" s="1" t="s">
        <v>568</v>
      </c>
      <c r="J193" s="1" t="s">
        <v>641</v>
      </c>
      <c r="K193">
        <v>0</v>
      </c>
      <c r="L193">
        <v>0</v>
      </c>
      <c r="N193" s="21">
        <v>44415.628849618057</v>
      </c>
      <c r="O193" s="21">
        <v>44415.628849618057</v>
      </c>
      <c r="P193" s="21"/>
      <c r="Q193">
        <v>0</v>
      </c>
      <c r="T193">
        <v>60</v>
      </c>
    </row>
    <row r="194" spans="1:20" x14ac:dyDescent="0.25">
      <c r="A194">
        <v>193</v>
      </c>
      <c r="B194" s="1" t="s">
        <v>1308</v>
      </c>
      <c r="C194" s="1"/>
      <c r="D194" s="1" t="s">
        <v>1309</v>
      </c>
      <c r="E194" s="1"/>
      <c r="F194" s="1"/>
      <c r="G194" s="1" t="s">
        <v>713</v>
      </c>
      <c r="H194" s="1" t="s">
        <v>1310</v>
      </c>
      <c r="I194" s="1"/>
      <c r="J194" s="1"/>
      <c r="K194">
        <v>0</v>
      </c>
      <c r="L194">
        <v>0</v>
      </c>
      <c r="N194" s="21">
        <v>44415.628849618057</v>
      </c>
      <c r="O194" s="21">
        <v>44415.628849618057</v>
      </c>
      <c r="P194" s="21"/>
      <c r="Q194">
        <v>0</v>
      </c>
      <c r="T194">
        <v>60</v>
      </c>
    </row>
    <row r="195" spans="1:20" x14ac:dyDescent="0.25">
      <c r="A195">
        <v>194</v>
      </c>
      <c r="B195" s="1" t="s">
        <v>1311</v>
      </c>
      <c r="C195" s="1" t="s">
        <v>1312</v>
      </c>
      <c r="D195" s="1" t="s">
        <v>1313</v>
      </c>
      <c r="E195" s="1" t="s">
        <v>1314</v>
      </c>
      <c r="F195" s="1"/>
      <c r="G195" s="1" t="s">
        <v>634</v>
      </c>
      <c r="H195" s="1" t="s">
        <v>1315</v>
      </c>
      <c r="I195" s="1" t="s">
        <v>568</v>
      </c>
      <c r="J195" s="1"/>
      <c r="K195">
        <v>0</v>
      </c>
      <c r="L195">
        <v>1</v>
      </c>
      <c r="M195">
        <v>133</v>
      </c>
      <c r="N195" s="21">
        <v>44415.628849618057</v>
      </c>
      <c r="O195" s="21">
        <v>44415.628849618057</v>
      </c>
      <c r="P195" s="21"/>
      <c r="Q195">
        <v>0</v>
      </c>
      <c r="T195">
        <v>60</v>
      </c>
    </row>
    <row r="196" spans="1:20" x14ac:dyDescent="0.25">
      <c r="A196">
        <v>195</v>
      </c>
      <c r="B196" s="1" t="s">
        <v>1316</v>
      </c>
      <c r="C196" s="1" t="s">
        <v>1317</v>
      </c>
      <c r="D196" s="1" t="s">
        <v>1318</v>
      </c>
      <c r="E196" s="1" t="s">
        <v>1319</v>
      </c>
      <c r="F196" s="1"/>
      <c r="G196" s="1" t="s">
        <v>634</v>
      </c>
      <c r="H196" s="1" t="s">
        <v>1320</v>
      </c>
      <c r="I196" s="1" t="s">
        <v>568</v>
      </c>
      <c r="J196" s="1" t="s">
        <v>641</v>
      </c>
      <c r="K196">
        <v>0</v>
      </c>
      <c r="L196">
        <v>1</v>
      </c>
      <c r="M196">
        <v>121</v>
      </c>
      <c r="N196" s="21">
        <v>44415.628849618057</v>
      </c>
      <c r="O196" s="21">
        <v>44415.628849618057</v>
      </c>
      <c r="P196" s="21"/>
      <c r="Q196">
        <v>0</v>
      </c>
      <c r="T196">
        <v>60</v>
      </c>
    </row>
    <row r="197" spans="1:20" x14ac:dyDescent="0.25">
      <c r="A197">
        <v>196</v>
      </c>
      <c r="B197" s="1" t="s">
        <v>1321</v>
      </c>
      <c r="C197" s="1"/>
      <c r="D197" s="1" t="s">
        <v>1322</v>
      </c>
      <c r="E197" s="1"/>
      <c r="F197" s="1" t="s">
        <v>1323</v>
      </c>
      <c r="G197" s="1" t="s">
        <v>634</v>
      </c>
      <c r="H197" s="1" t="s">
        <v>1324</v>
      </c>
      <c r="I197" s="1"/>
      <c r="J197" s="1" t="s">
        <v>641</v>
      </c>
      <c r="K197">
        <v>0</v>
      </c>
      <c r="L197">
        <v>0</v>
      </c>
      <c r="N197" s="21">
        <v>44415.628849618057</v>
      </c>
      <c r="O197" s="21">
        <v>44415.628849618057</v>
      </c>
      <c r="P197" s="21"/>
      <c r="Q197">
        <v>0</v>
      </c>
      <c r="T197">
        <v>60</v>
      </c>
    </row>
    <row r="198" spans="1:20" x14ac:dyDescent="0.25">
      <c r="A198">
        <v>197</v>
      </c>
      <c r="B198" s="1" t="s">
        <v>1325</v>
      </c>
      <c r="C198" s="1"/>
      <c r="D198" s="1" t="s">
        <v>1326</v>
      </c>
      <c r="E198" s="1"/>
      <c r="F198" s="1"/>
      <c r="G198" s="1" t="s">
        <v>644</v>
      </c>
      <c r="H198" s="1" t="s">
        <v>1327</v>
      </c>
      <c r="I198" s="1" t="s">
        <v>568</v>
      </c>
      <c r="J198" s="1"/>
      <c r="K198">
        <v>0</v>
      </c>
      <c r="L198">
        <v>0</v>
      </c>
      <c r="N198" s="21">
        <v>44415.628849618057</v>
      </c>
      <c r="O198" s="21">
        <v>44415.628849618057</v>
      </c>
      <c r="P198" s="21"/>
      <c r="Q198">
        <v>0</v>
      </c>
      <c r="T198">
        <v>60</v>
      </c>
    </row>
    <row r="199" spans="1:20" x14ac:dyDescent="0.25">
      <c r="A199">
        <v>198</v>
      </c>
      <c r="B199" s="1" t="s">
        <v>1328</v>
      </c>
      <c r="C199" s="1"/>
      <c r="D199" s="1" t="s">
        <v>1329</v>
      </c>
      <c r="E199" s="1"/>
      <c r="F199" s="1"/>
      <c r="G199" s="1" t="s">
        <v>634</v>
      </c>
      <c r="H199" s="1" t="s">
        <v>1330</v>
      </c>
      <c r="I199" s="1" t="s">
        <v>568</v>
      </c>
      <c r="J199" s="1" t="s">
        <v>641</v>
      </c>
      <c r="K199">
        <v>0</v>
      </c>
      <c r="L199">
        <v>0</v>
      </c>
      <c r="N199" s="21">
        <v>44415.628849618057</v>
      </c>
      <c r="O199" s="21">
        <v>44415.628849618057</v>
      </c>
      <c r="P199" s="21"/>
      <c r="Q199">
        <v>0</v>
      </c>
      <c r="T199">
        <v>60</v>
      </c>
    </row>
    <row r="200" spans="1:20" x14ac:dyDescent="0.25">
      <c r="A200">
        <v>199</v>
      </c>
      <c r="B200" s="1" t="s">
        <v>1331</v>
      </c>
      <c r="C200" s="1" t="s">
        <v>1332</v>
      </c>
      <c r="D200" s="1" t="s">
        <v>1333</v>
      </c>
      <c r="E200" s="1" t="s">
        <v>1334</v>
      </c>
      <c r="F200" s="1"/>
      <c r="G200" s="1" t="s">
        <v>634</v>
      </c>
      <c r="H200" s="1" t="s">
        <v>1335</v>
      </c>
      <c r="I200" s="1" t="s">
        <v>568</v>
      </c>
      <c r="J200" s="1" t="s">
        <v>641</v>
      </c>
      <c r="K200">
        <v>0</v>
      </c>
      <c r="L200">
        <v>1</v>
      </c>
      <c r="N200" s="21">
        <v>44415.628849618057</v>
      </c>
      <c r="O200" s="21">
        <v>44415.628849618057</v>
      </c>
      <c r="P200" s="21"/>
      <c r="Q200">
        <v>0</v>
      </c>
      <c r="T200">
        <v>60</v>
      </c>
    </row>
    <row r="201" spans="1:20" x14ac:dyDescent="0.25">
      <c r="A201">
        <v>200</v>
      </c>
      <c r="B201" s="1" t="s">
        <v>1336</v>
      </c>
      <c r="C201" s="1"/>
      <c r="D201" s="1" t="s">
        <v>1337</v>
      </c>
      <c r="E201" s="1"/>
      <c r="F201" s="1"/>
      <c r="G201" s="1" t="s">
        <v>634</v>
      </c>
      <c r="H201" s="1" t="s">
        <v>1338</v>
      </c>
      <c r="I201" s="1" t="s">
        <v>568</v>
      </c>
      <c r="J201" s="1" t="s">
        <v>641</v>
      </c>
      <c r="K201">
        <v>0</v>
      </c>
      <c r="L201">
        <v>0</v>
      </c>
      <c r="N201" s="21">
        <v>44415.628849618057</v>
      </c>
      <c r="O201" s="21">
        <v>44415.628849618057</v>
      </c>
      <c r="P201" s="21"/>
      <c r="Q201">
        <v>0</v>
      </c>
      <c r="T201">
        <v>60</v>
      </c>
    </row>
    <row r="202" spans="1:20" x14ac:dyDescent="0.25">
      <c r="A202">
        <v>201</v>
      </c>
      <c r="B202" s="1" t="s">
        <v>1339</v>
      </c>
      <c r="C202" s="1"/>
      <c r="D202" s="1" t="s">
        <v>1340</v>
      </c>
      <c r="E202" s="1"/>
      <c r="F202" s="1"/>
      <c r="G202" s="1" t="s">
        <v>634</v>
      </c>
      <c r="H202" s="1" t="s">
        <v>1341</v>
      </c>
      <c r="I202" s="1" t="s">
        <v>568</v>
      </c>
      <c r="J202" s="1"/>
      <c r="K202">
        <v>0</v>
      </c>
      <c r="L202">
        <v>0</v>
      </c>
      <c r="N202" s="21">
        <v>44415.628849618057</v>
      </c>
      <c r="O202" s="21">
        <v>44415.628849618057</v>
      </c>
      <c r="P202" s="21"/>
      <c r="Q202">
        <v>0</v>
      </c>
      <c r="T202">
        <v>60</v>
      </c>
    </row>
    <row r="203" spans="1:20" x14ac:dyDescent="0.25">
      <c r="A203">
        <v>202</v>
      </c>
      <c r="B203" s="1" t="s">
        <v>1342</v>
      </c>
      <c r="C203" s="1"/>
      <c r="D203" s="1" t="s">
        <v>1343</v>
      </c>
      <c r="E203" s="1"/>
      <c r="F203" s="1"/>
      <c r="G203" s="1" t="s">
        <v>634</v>
      </c>
      <c r="H203" s="1" t="s">
        <v>1344</v>
      </c>
      <c r="I203" s="1" t="s">
        <v>995</v>
      </c>
      <c r="J203" s="1" t="s">
        <v>641</v>
      </c>
      <c r="K203">
        <v>0</v>
      </c>
      <c r="L203">
        <v>0</v>
      </c>
      <c r="N203" s="21">
        <v>44415.628849618057</v>
      </c>
      <c r="O203" s="21">
        <v>44415.628849618057</v>
      </c>
      <c r="P203" s="21"/>
      <c r="Q203">
        <v>0</v>
      </c>
      <c r="T203">
        <v>60</v>
      </c>
    </row>
    <row r="204" spans="1:20" x14ac:dyDescent="0.25">
      <c r="A204">
        <v>203</v>
      </c>
      <c r="B204" s="1" t="s">
        <v>1345</v>
      </c>
      <c r="C204" s="1"/>
      <c r="D204" s="1" t="s">
        <v>1346</v>
      </c>
      <c r="E204" s="1"/>
      <c r="F204" s="1"/>
      <c r="G204" s="1" t="s">
        <v>634</v>
      </c>
      <c r="H204" s="1" t="s">
        <v>1347</v>
      </c>
      <c r="I204" s="1" t="s">
        <v>753</v>
      </c>
      <c r="J204" s="1" t="s">
        <v>641</v>
      </c>
      <c r="K204">
        <v>0</v>
      </c>
      <c r="L204">
        <v>0</v>
      </c>
      <c r="N204" s="21">
        <v>44415.628849618057</v>
      </c>
      <c r="O204" s="21">
        <v>44415.628849618057</v>
      </c>
      <c r="P204" s="21"/>
      <c r="Q204">
        <v>0</v>
      </c>
      <c r="T204">
        <v>60</v>
      </c>
    </row>
    <row r="205" spans="1:20" x14ac:dyDescent="0.25">
      <c r="A205">
        <v>204</v>
      </c>
      <c r="B205" s="1" t="s">
        <v>1348</v>
      </c>
      <c r="C205" s="1" t="s">
        <v>1349</v>
      </c>
      <c r="D205" s="1" t="s">
        <v>1350</v>
      </c>
      <c r="E205" s="1" t="s">
        <v>1351</v>
      </c>
      <c r="F205" s="1"/>
      <c r="G205" s="1" t="s">
        <v>634</v>
      </c>
      <c r="H205" s="1" t="s">
        <v>1352</v>
      </c>
      <c r="I205" s="1" t="s">
        <v>568</v>
      </c>
      <c r="J205" s="1" t="s">
        <v>641</v>
      </c>
      <c r="K205">
        <v>0</v>
      </c>
      <c r="L205">
        <v>1</v>
      </c>
      <c r="M205">
        <v>519</v>
      </c>
      <c r="N205" s="21">
        <v>44415.628849618057</v>
      </c>
      <c r="O205" s="21">
        <v>44415.628849618057</v>
      </c>
      <c r="P205" s="21"/>
      <c r="Q205">
        <v>0</v>
      </c>
      <c r="T205">
        <v>60</v>
      </c>
    </row>
    <row r="206" spans="1:20" x14ac:dyDescent="0.25">
      <c r="A206">
        <v>205</v>
      </c>
      <c r="B206" s="1" t="s">
        <v>1353</v>
      </c>
      <c r="C206" s="1" t="s">
        <v>1354</v>
      </c>
      <c r="D206" s="1" t="s">
        <v>1355</v>
      </c>
      <c r="E206" s="1"/>
      <c r="F206" s="1"/>
      <c r="G206" s="1" t="s">
        <v>644</v>
      </c>
      <c r="H206" s="1" t="s">
        <v>1356</v>
      </c>
      <c r="I206" s="1" t="s">
        <v>1163</v>
      </c>
      <c r="J206" s="1" t="s">
        <v>641</v>
      </c>
      <c r="K206">
        <v>0</v>
      </c>
      <c r="L206">
        <v>1</v>
      </c>
      <c r="M206">
        <v>5156</v>
      </c>
      <c r="N206" s="21">
        <v>44415.628849618057</v>
      </c>
      <c r="O206" s="21">
        <v>44415.628849618057</v>
      </c>
      <c r="P206" s="21"/>
      <c r="Q206">
        <v>0</v>
      </c>
      <c r="T206">
        <v>60</v>
      </c>
    </row>
    <row r="207" spans="1:20" x14ac:dyDescent="0.25">
      <c r="A207">
        <v>206</v>
      </c>
      <c r="B207" s="1" t="s">
        <v>1357</v>
      </c>
      <c r="C207" s="1"/>
      <c r="D207" s="1" t="s">
        <v>1358</v>
      </c>
      <c r="E207" s="1" t="s">
        <v>1359</v>
      </c>
      <c r="F207" s="1"/>
      <c r="G207" s="1" t="s">
        <v>634</v>
      </c>
      <c r="H207" s="1" t="s">
        <v>1360</v>
      </c>
      <c r="I207" s="1" t="s">
        <v>690</v>
      </c>
      <c r="J207" s="1"/>
      <c r="K207">
        <v>0</v>
      </c>
      <c r="L207">
        <v>0</v>
      </c>
      <c r="N207" s="21">
        <v>44415.628849618057</v>
      </c>
      <c r="O207" s="21">
        <v>44415.628849618057</v>
      </c>
      <c r="P207" s="21"/>
      <c r="Q207">
        <v>0</v>
      </c>
      <c r="T207">
        <v>60</v>
      </c>
    </row>
    <row r="208" spans="1:20" x14ac:dyDescent="0.25">
      <c r="A208">
        <v>207</v>
      </c>
      <c r="B208" s="1" t="s">
        <v>1361</v>
      </c>
      <c r="C208" s="1"/>
      <c r="D208" s="1" t="s">
        <v>1362</v>
      </c>
      <c r="E208" s="1"/>
      <c r="F208" s="1"/>
      <c r="G208" s="1"/>
      <c r="H208" s="1" t="s">
        <v>1363</v>
      </c>
      <c r="I208" s="1"/>
      <c r="J208" s="1"/>
      <c r="K208">
        <v>0</v>
      </c>
      <c r="L208">
        <v>0</v>
      </c>
      <c r="N208" s="21">
        <v>44415.628849618057</v>
      </c>
      <c r="O208" s="21">
        <v>44415.628849618057</v>
      </c>
      <c r="P208" s="21"/>
      <c r="Q208">
        <v>0</v>
      </c>
      <c r="T208">
        <v>60</v>
      </c>
    </row>
    <row r="209" spans="1:20" x14ac:dyDescent="0.25">
      <c r="A209">
        <v>208</v>
      </c>
      <c r="B209" s="1" t="s">
        <v>1364</v>
      </c>
      <c r="C209" s="1" t="s">
        <v>1365</v>
      </c>
      <c r="D209" s="1" t="s">
        <v>1366</v>
      </c>
      <c r="E209" s="1"/>
      <c r="F209" s="1"/>
      <c r="G209" s="1" t="s">
        <v>644</v>
      </c>
      <c r="H209" s="1" t="s">
        <v>1367</v>
      </c>
      <c r="I209" s="1" t="s">
        <v>690</v>
      </c>
      <c r="J209" s="1" t="s">
        <v>641</v>
      </c>
      <c r="K209">
        <v>0</v>
      </c>
      <c r="L209">
        <v>1</v>
      </c>
      <c r="M209">
        <v>5625</v>
      </c>
      <c r="N209" s="21">
        <v>44415.628849618057</v>
      </c>
      <c r="O209" s="21">
        <v>44415.628849618057</v>
      </c>
      <c r="P209" s="21"/>
      <c r="Q209">
        <v>0</v>
      </c>
      <c r="T209">
        <v>60</v>
      </c>
    </row>
    <row r="210" spans="1:20" x14ac:dyDescent="0.25">
      <c r="A210">
        <v>209</v>
      </c>
      <c r="B210" s="1" t="s">
        <v>1368</v>
      </c>
      <c r="C210" s="1"/>
      <c r="D210" s="1" t="s">
        <v>1369</v>
      </c>
      <c r="E210" s="1"/>
      <c r="F210" s="1"/>
      <c r="G210" s="1" t="s">
        <v>644</v>
      </c>
      <c r="H210" s="1" t="s">
        <v>1370</v>
      </c>
      <c r="I210" s="1"/>
      <c r="J210" s="1" t="s">
        <v>641</v>
      </c>
      <c r="K210">
        <v>0</v>
      </c>
      <c r="L210">
        <v>0</v>
      </c>
      <c r="N210" s="21">
        <v>44415.628849618057</v>
      </c>
      <c r="O210" s="21">
        <v>44415.628849618057</v>
      </c>
      <c r="P210" s="21"/>
      <c r="Q210">
        <v>0</v>
      </c>
      <c r="T210">
        <v>60</v>
      </c>
    </row>
    <row r="211" spans="1:20" x14ac:dyDescent="0.25">
      <c r="A211">
        <v>210</v>
      </c>
      <c r="B211" s="1" t="s">
        <v>1371</v>
      </c>
      <c r="C211" s="1"/>
      <c r="D211" s="1" t="s">
        <v>1372</v>
      </c>
      <c r="E211" s="1" t="s">
        <v>1373</v>
      </c>
      <c r="F211" s="1" t="s">
        <v>1374</v>
      </c>
      <c r="G211" s="1" t="s">
        <v>634</v>
      </c>
      <c r="H211" s="1" t="s">
        <v>1375</v>
      </c>
      <c r="I211" s="1" t="s">
        <v>568</v>
      </c>
      <c r="J211" s="1"/>
      <c r="K211">
        <v>0</v>
      </c>
      <c r="L211">
        <v>0</v>
      </c>
      <c r="N211" s="21">
        <v>44415.628849618057</v>
      </c>
      <c r="O211" s="21">
        <v>44415.628849618057</v>
      </c>
      <c r="P211" s="21"/>
      <c r="Q211">
        <v>0</v>
      </c>
      <c r="T211">
        <v>60</v>
      </c>
    </row>
    <row r="212" spans="1:20" x14ac:dyDescent="0.25">
      <c r="A212">
        <v>211</v>
      </c>
      <c r="B212" s="1" t="s">
        <v>1376</v>
      </c>
      <c r="C212" s="1" t="s">
        <v>1377</v>
      </c>
      <c r="D212" s="1" t="s">
        <v>1378</v>
      </c>
      <c r="E212" s="1"/>
      <c r="F212" s="1"/>
      <c r="G212" s="1"/>
      <c r="H212" s="1" t="s">
        <v>1379</v>
      </c>
      <c r="I212" s="1"/>
      <c r="J212" s="1" t="s">
        <v>636</v>
      </c>
      <c r="K212">
        <v>0</v>
      </c>
      <c r="L212">
        <v>1</v>
      </c>
      <c r="M212">
        <v>67</v>
      </c>
      <c r="N212" s="21">
        <v>44415.628849618057</v>
      </c>
      <c r="O212" s="21">
        <v>44415.628849618057</v>
      </c>
      <c r="P212" s="21"/>
      <c r="Q212">
        <v>0</v>
      </c>
      <c r="T212">
        <v>60</v>
      </c>
    </row>
    <row r="213" spans="1:20" x14ac:dyDescent="0.25">
      <c r="A213">
        <v>212</v>
      </c>
      <c r="B213" s="1" t="s">
        <v>1380</v>
      </c>
      <c r="C213" s="1"/>
      <c r="D213" s="1" t="s">
        <v>1381</v>
      </c>
      <c r="E213" s="1"/>
      <c r="F213" s="1"/>
      <c r="G213" s="1" t="s">
        <v>634</v>
      </c>
      <c r="H213" s="1" t="s">
        <v>1382</v>
      </c>
      <c r="I213" s="1" t="s">
        <v>568</v>
      </c>
      <c r="J213" s="1"/>
      <c r="K213">
        <v>0</v>
      </c>
      <c r="L213">
        <v>0</v>
      </c>
      <c r="N213" s="21">
        <v>44415.628849618057</v>
      </c>
      <c r="O213" s="21">
        <v>44415.628849618057</v>
      </c>
      <c r="P213" s="21"/>
      <c r="Q213">
        <v>0</v>
      </c>
      <c r="T213">
        <v>60</v>
      </c>
    </row>
    <row r="214" spans="1:20" x14ac:dyDescent="0.25">
      <c r="A214">
        <v>213</v>
      </c>
      <c r="B214" s="1" t="s">
        <v>1383</v>
      </c>
      <c r="C214" s="1" t="s">
        <v>1384</v>
      </c>
      <c r="D214" s="1" t="s">
        <v>1385</v>
      </c>
      <c r="E214" s="1"/>
      <c r="F214" s="1"/>
      <c r="G214" s="1" t="s">
        <v>644</v>
      </c>
      <c r="H214" s="1" t="s">
        <v>1386</v>
      </c>
      <c r="I214" s="1" t="s">
        <v>568</v>
      </c>
      <c r="J214" s="1" t="s">
        <v>641</v>
      </c>
      <c r="K214">
        <v>0</v>
      </c>
      <c r="L214">
        <v>1</v>
      </c>
      <c r="M214">
        <v>4267</v>
      </c>
      <c r="N214" s="21">
        <v>44415.628849618057</v>
      </c>
      <c r="O214" s="21">
        <v>44415.628849618057</v>
      </c>
      <c r="P214" s="21"/>
      <c r="Q214">
        <v>0</v>
      </c>
      <c r="T214">
        <v>60</v>
      </c>
    </row>
    <row r="215" spans="1:20" x14ac:dyDescent="0.25">
      <c r="A215">
        <v>214</v>
      </c>
      <c r="B215" s="1" t="s">
        <v>1387</v>
      </c>
      <c r="C215" s="1" t="s">
        <v>1388</v>
      </c>
      <c r="D215" s="1" t="s">
        <v>1389</v>
      </c>
      <c r="E215" s="1"/>
      <c r="F215" s="1"/>
      <c r="G215" s="1" t="s">
        <v>644</v>
      </c>
      <c r="H215" s="1" t="s">
        <v>1390</v>
      </c>
      <c r="I215" s="1"/>
      <c r="J215" s="1" t="s">
        <v>641</v>
      </c>
      <c r="K215">
        <v>0</v>
      </c>
      <c r="L215">
        <v>1</v>
      </c>
      <c r="M215">
        <v>31</v>
      </c>
      <c r="N215" s="21">
        <v>44415.628849618057</v>
      </c>
      <c r="O215" s="21">
        <v>44415.628849618057</v>
      </c>
      <c r="P215" s="21"/>
      <c r="Q215">
        <v>0</v>
      </c>
      <c r="T215">
        <v>60</v>
      </c>
    </row>
    <row r="216" spans="1:20" x14ac:dyDescent="0.25">
      <c r="A216">
        <v>215</v>
      </c>
      <c r="B216" s="1" t="s">
        <v>1391</v>
      </c>
      <c r="C216" s="1"/>
      <c r="D216" s="1" t="s">
        <v>1392</v>
      </c>
      <c r="E216" s="1"/>
      <c r="F216" s="1"/>
      <c r="G216" s="1" t="s">
        <v>634</v>
      </c>
      <c r="H216" s="1" t="s">
        <v>1393</v>
      </c>
      <c r="I216" s="1"/>
      <c r="J216" s="1"/>
      <c r="K216">
        <v>0</v>
      </c>
      <c r="L216">
        <v>0</v>
      </c>
      <c r="N216" s="21">
        <v>44415.628849618057</v>
      </c>
      <c r="O216" s="21">
        <v>44415.628849618057</v>
      </c>
      <c r="P216" s="21"/>
      <c r="Q216">
        <v>0</v>
      </c>
      <c r="T216">
        <v>60</v>
      </c>
    </row>
    <row r="217" spans="1:20" x14ac:dyDescent="0.25">
      <c r="A217">
        <v>216</v>
      </c>
      <c r="B217" s="1" t="s">
        <v>1394</v>
      </c>
      <c r="C217" s="1" t="s">
        <v>1395</v>
      </c>
      <c r="D217" s="1" t="s">
        <v>1396</v>
      </c>
      <c r="E217" s="1"/>
      <c r="F217" s="1"/>
      <c r="G217" s="1" t="s">
        <v>634</v>
      </c>
      <c r="H217" s="1" t="s">
        <v>1397</v>
      </c>
      <c r="I217" s="1" t="s">
        <v>568</v>
      </c>
      <c r="J217" s="1" t="s">
        <v>1398</v>
      </c>
      <c r="K217">
        <v>0</v>
      </c>
      <c r="L217">
        <v>1</v>
      </c>
      <c r="M217">
        <v>25</v>
      </c>
      <c r="N217" s="21">
        <v>44415.628849618057</v>
      </c>
      <c r="O217" s="21">
        <v>44415.628849618057</v>
      </c>
      <c r="P217" s="21"/>
      <c r="Q217">
        <v>0</v>
      </c>
      <c r="T217">
        <v>60</v>
      </c>
    </row>
    <row r="218" spans="1:20" x14ac:dyDescent="0.25">
      <c r="A218">
        <v>217</v>
      </c>
      <c r="B218" s="1" t="s">
        <v>1399</v>
      </c>
      <c r="C218" s="1" t="s">
        <v>1400</v>
      </c>
      <c r="D218" s="1" t="s">
        <v>1401</v>
      </c>
      <c r="E218" s="1"/>
      <c r="F218" s="1"/>
      <c r="G218" s="1" t="s">
        <v>634</v>
      </c>
      <c r="H218" s="1" t="s">
        <v>1402</v>
      </c>
      <c r="I218" s="1"/>
      <c r="J218" s="1" t="s">
        <v>636</v>
      </c>
      <c r="K218">
        <v>0</v>
      </c>
      <c r="L218">
        <v>1</v>
      </c>
      <c r="M218">
        <v>4101</v>
      </c>
      <c r="N218" s="21">
        <v>44415.628849618057</v>
      </c>
      <c r="O218" s="21">
        <v>44415.628849618057</v>
      </c>
      <c r="P218" s="21"/>
      <c r="Q218">
        <v>0</v>
      </c>
      <c r="T218">
        <v>60</v>
      </c>
    </row>
    <row r="219" spans="1:20" x14ac:dyDescent="0.25">
      <c r="A219">
        <v>218</v>
      </c>
      <c r="B219" s="1" t="s">
        <v>1403</v>
      </c>
      <c r="C219" s="1" t="s">
        <v>1404</v>
      </c>
      <c r="D219" s="1" t="s">
        <v>1405</v>
      </c>
      <c r="E219" s="1"/>
      <c r="F219" s="1"/>
      <c r="G219" s="1" t="s">
        <v>634</v>
      </c>
      <c r="H219" s="1" t="s">
        <v>1406</v>
      </c>
      <c r="I219" s="1" t="s">
        <v>568</v>
      </c>
      <c r="J219" s="1" t="s">
        <v>636</v>
      </c>
      <c r="K219">
        <v>0</v>
      </c>
      <c r="L219">
        <v>1</v>
      </c>
      <c r="M219">
        <v>5201</v>
      </c>
      <c r="N219" s="21">
        <v>44415.628849618057</v>
      </c>
      <c r="O219" s="21">
        <v>44415.628849618057</v>
      </c>
      <c r="P219" s="21"/>
      <c r="Q219">
        <v>0</v>
      </c>
      <c r="T219">
        <v>60</v>
      </c>
    </row>
    <row r="220" spans="1:20" x14ac:dyDescent="0.25">
      <c r="A220">
        <v>219</v>
      </c>
      <c r="B220" s="1" t="s">
        <v>1407</v>
      </c>
      <c r="C220" s="1"/>
      <c r="D220" s="1" t="s">
        <v>1408</v>
      </c>
      <c r="E220" s="1"/>
      <c r="F220" s="1"/>
      <c r="G220" s="1" t="s">
        <v>644</v>
      </c>
      <c r="H220" s="1" t="s">
        <v>1409</v>
      </c>
      <c r="I220" s="1"/>
      <c r="J220" s="1"/>
      <c r="K220">
        <v>0</v>
      </c>
      <c r="L220">
        <v>1</v>
      </c>
      <c r="N220" s="21">
        <v>44415.628849618057</v>
      </c>
      <c r="O220" s="21">
        <v>44415.628849618057</v>
      </c>
      <c r="P220" s="21"/>
      <c r="Q220">
        <v>0</v>
      </c>
      <c r="T220">
        <v>60</v>
      </c>
    </row>
    <row r="221" spans="1:20" x14ac:dyDescent="0.25">
      <c r="A221">
        <v>220</v>
      </c>
      <c r="B221" s="1" t="s">
        <v>1410</v>
      </c>
      <c r="C221" s="1" t="s">
        <v>1411</v>
      </c>
      <c r="D221" s="1" t="s">
        <v>1412</v>
      </c>
      <c r="E221" s="1"/>
      <c r="F221" s="1"/>
      <c r="G221" s="1" t="s">
        <v>634</v>
      </c>
      <c r="H221" s="1" t="s">
        <v>1413</v>
      </c>
      <c r="I221" s="1" t="s">
        <v>975</v>
      </c>
      <c r="J221" s="1" t="s">
        <v>641</v>
      </c>
      <c r="K221">
        <v>0</v>
      </c>
      <c r="L221">
        <v>1</v>
      </c>
      <c r="M221">
        <v>137</v>
      </c>
      <c r="N221" s="21">
        <v>44415.628849618057</v>
      </c>
      <c r="O221" s="21">
        <v>44415.628849618057</v>
      </c>
      <c r="P221" s="21"/>
      <c r="Q221">
        <v>0</v>
      </c>
      <c r="T221">
        <v>60</v>
      </c>
    </row>
    <row r="222" spans="1:20" x14ac:dyDescent="0.25">
      <c r="A222">
        <v>221</v>
      </c>
      <c r="B222" s="1" t="s">
        <v>1414</v>
      </c>
      <c r="C222" s="1"/>
      <c r="D222" s="1" t="s">
        <v>1415</v>
      </c>
      <c r="E222" s="1"/>
      <c r="F222" s="1"/>
      <c r="G222" s="1" t="s">
        <v>634</v>
      </c>
      <c r="H222" s="1" t="s">
        <v>1416</v>
      </c>
      <c r="I222" s="1" t="s">
        <v>568</v>
      </c>
      <c r="J222" s="1" t="s">
        <v>641</v>
      </c>
      <c r="K222">
        <v>0</v>
      </c>
      <c r="L222">
        <v>0</v>
      </c>
      <c r="N222" s="21">
        <v>44415.628849618057</v>
      </c>
      <c r="O222" s="21">
        <v>44415.628849618057</v>
      </c>
      <c r="P222" s="21"/>
      <c r="Q222">
        <v>0</v>
      </c>
      <c r="T222">
        <v>60</v>
      </c>
    </row>
    <row r="223" spans="1:20" x14ac:dyDescent="0.25">
      <c r="A223">
        <v>222</v>
      </c>
      <c r="B223" s="1" t="s">
        <v>1417</v>
      </c>
      <c r="C223" s="1" t="s">
        <v>1418</v>
      </c>
      <c r="D223" s="1" t="s">
        <v>1419</v>
      </c>
      <c r="E223" s="1"/>
      <c r="F223" s="1"/>
      <c r="G223" s="1" t="s">
        <v>644</v>
      </c>
      <c r="H223" s="1" t="s">
        <v>1420</v>
      </c>
      <c r="I223" s="1" t="s">
        <v>1071</v>
      </c>
      <c r="J223" s="1" t="s">
        <v>641</v>
      </c>
      <c r="K223">
        <v>0</v>
      </c>
      <c r="L223">
        <v>1</v>
      </c>
      <c r="M223">
        <v>653</v>
      </c>
      <c r="N223" s="21">
        <v>44415.628849618057</v>
      </c>
      <c r="O223" s="21">
        <v>44415.628849618057</v>
      </c>
      <c r="P223" s="21"/>
      <c r="Q223">
        <v>0</v>
      </c>
      <c r="T223">
        <v>60</v>
      </c>
    </row>
    <row r="224" spans="1:20" x14ac:dyDescent="0.25">
      <c r="A224">
        <v>223</v>
      </c>
      <c r="B224" s="1" t="s">
        <v>1421</v>
      </c>
      <c r="C224" s="1"/>
      <c r="D224" s="1" t="s">
        <v>1422</v>
      </c>
      <c r="E224" s="1"/>
      <c r="F224" s="1"/>
      <c r="G224" s="1" t="s">
        <v>634</v>
      </c>
      <c r="H224" s="1" t="s">
        <v>1423</v>
      </c>
      <c r="I224" s="1" t="s">
        <v>568</v>
      </c>
      <c r="J224" s="1" t="s">
        <v>636</v>
      </c>
      <c r="K224">
        <v>0</v>
      </c>
      <c r="L224">
        <v>0</v>
      </c>
      <c r="N224" s="21">
        <v>44415.628849618057</v>
      </c>
      <c r="O224" s="21">
        <v>44415.628849618057</v>
      </c>
      <c r="P224" s="21"/>
      <c r="Q224">
        <v>0</v>
      </c>
      <c r="T224">
        <v>60</v>
      </c>
    </row>
    <row r="225" spans="1:20" x14ac:dyDescent="0.25">
      <c r="A225">
        <v>224</v>
      </c>
      <c r="B225" s="1" t="s">
        <v>1424</v>
      </c>
      <c r="C225" s="1"/>
      <c r="D225" s="1" t="s">
        <v>1425</v>
      </c>
      <c r="E225" s="1"/>
      <c r="F225" s="1"/>
      <c r="G225" s="1" t="s">
        <v>644</v>
      </c>
      <c r="H225" s="1" t="s">
        <v>1426</v>
      </c>
      <c r="I225" s="1"/>
      <c r="J225" s="1" t="s">
        <v>641</v>
      </c>
      <c r="K225">
        <v>0</v>
      </c>
      <c r="L225">
        <v>0</v>
      </c>
      <c r="N225" s="21">
        <v>44415.628849618057</v>
      </c>
      <c r="O225" s="21">
        <v>44415.628849618057</v>
      </c>
      <c r="P225" s="21"/>
      <c r="Q225">
        <v>0</v>
      </c>
      <c r="T225">
        <v>60</v>
      </c>
    </row>
    <row r="226" spans="1:20" x14ac:dyDescent="0.25">
      <c r="A226">
        <v>225</v>
      </c>
      <c r="B226" s="1" t="s">
        <v>1427</v>
      </c>
      <c r="C226" s="1"/>
      <c r="D226" s="1" t="s">
        <v>1428</v>
      </c>
      <c r="E226" s="1"/>
      <c r="F226" s="1"/>
      <c r="G226" s="1" t="s">
        <v>713</v>
      </c>
      <c r="H226" s="1" t="s">
        <v>1429</v>
      </c>
      <c r="I226" s="1"/>
      <c r="J226" s="1"/>
      <c r="K226">
        <v>0</v>
      </c>
      <c r="L226">
        <v>0</v>
      </c>
      <c r="N226" s="21">
        <v>44415.628849618057</v>
      </c>
      <c r="O226" s="21">
        <v>44415.628849618057</v>
      </c>
      <c r="P226" s="21"/>
      <c r="Q226">
        <v>0</v>
      </c>
      <c r="T226">
        <v>60</v>
      </c>
    </row>
    <row r="227" spans="1:20" x14ac:dyDescent="0.25">
      <c r="A227">
        <v>226</v>
      </c>
      <c r="B227" s="1" t="s">
        <v>1430</v>
      </c>
      <c r="C227" s="1"/>
      <c r="D227" s="1" t="s">
        <v>1431</v>
      </c>
      <c r="E227" s="1"/>
      <c r="F227" s="1"/>
      <c r="G227" s="1" t="s">
        <v>644</v>
      </c>
      <c r="H227" s="1" t="s">
        <v>1432</v>
      </c>
      <c r="I227" s="1" t="s">
        <v>1433</v>
      </c>
      <c r="J227" s="1"/>
      <c r="K227">
        <v>0</v>
      </c>
      <c r="L227">
        <v>0</v>
      </c>
      <c r="N227" s="21">
        <v>44415.628849618057</v>
      </c>
      <c r="O227" s="21">
        <v>44415.628849618057</v>
      </c>
      <c r="P227" s="21"/>
      <c r="Q227">
        <v>0</v>
      </c>
      <c r="T227">
        <v>60</v>
      </c>
    </row>
    <row r="228" spans="1:20" x14ac:dyDescent="0.25">
      <c r="A228">
        <v>227</v>
      </c>
      <c r="B228" s="1" t="s">
        <v>1434</v>
      </c>
      <c r="C228" s="1"/>
      <c r="D228" s="1" t="s">
        <v>1435</v>
      </c>
      <c r="E228" s="1" t="s">
        <v>1436</v>
      </c>
      <c r="F228" s="1"/>
      <c r="G228" s="1"/>
      <c r="H228" s="1" t="s">
        <v>1437</v>
      </c>
      <c r="I228" s="1" t="s">
        <v>568</v>
      </c>
      <c r="J228" s="1"/>
      <c r="K228">
        <v>0</v>
      </c>
      <c r="L228">
        <v>0</v>
      </c>
      <c r="N228" s="21">
        <v>44415.628849618057</v>
      </c>
      <c r="O228" s="21">
        <v>44415.628849618057</v>
      </c>
      <c r="P228" s="21"/>
      <c r="Q228">
        <v>0</v>
      </c>
      <c r="T228">
        <v>60</v>
      </c>
    </row>
    <row r="229" spans="1:20" x14ac:dyDescent="0.25">
      <c r="A229">
        <v>228</v>
      </c>
      <c r="B229" s="1" t="s">
        <v>1438</v>
      </c>
      <c r="C229" s="1" t="s">
        <v>1439</v>
      </c>
      <c r="D229" s="1" t="s">
        <v>1440</v>
      </c>
      <c r="E229" s="1"/>
      <c r="F229" s="1"/>
      <c r="G229" s="1" t="s">
        <v>634</v>
      </c>
      <c r="H229" s="1" t="s">
        <v>1441</v>
      </c>
      <c r="I229" s="1" t="s">
        <v>568</v>
      </c>
      <c r="J229" s="1" t="s">
        <v>641</v>
      </c>
      <c r="K229">
        <v>0</v>
      </c>
      <c r="L229">
        <v>1</v>
      </c>
      <c r="M229">
        <v>5412</v>
      </c>
      <c r="N229" s="21">
        <v>44415.628849618057</v>
      </c>
      <c r="O229" s="21">
        <v>44415.628849618057</v>
      </c>
      <c r="P229" s="21"/>
      <c r="Q229">
        <v>0</v>
      </c>
      <c r="T229">
        <v>60</v>
      </c>
    </row>
    <row r="230" spans="1:20" x14ac:dyDescent="0.25">
      <c r="A230">
        <v>229</v>
      </c>
      <c r="B230" s="1" t="s">
        <v>1442</v>
      </c>
      <c r="C230" s="1" t="s">
        <v>1443</v>
      </c>
      <c r="D230" s="1" t="s">
        <v>1444</v>
      </c>
      <c r="E230" s="1"/>
      <c r="F230" s="1"/>
      <c r="G230" s="1" t="s">
        <v>634</v>
      </c>
      <c r="H230" s="1" t="s">
        <v>1445</v>
      </c>
      <c r="I230" s="1" t="s">
        <v>1071</v>
      </c>
      <c r="J230" s="1" t="s">
        <v>641</v>
      </c>
      <c r="K230">
        <v>0</v>
      </c>
      <c r="L230">
        <v>1</v>
      </c>
      <c r="M230">
        <v>21</v>
      </c>
      <c r="N230" s="21">
        <v>44415.628849618057</v>
      </c>
      <c r="O230" s="21">
        <v>44415.628849618057</v>
      </c>
      <c r="P230" s="21"/>
      <c r="Q230">
        <v>0</v>
      </c>
      <c r="T230">
        <v>60</v>
      </c>
    </row>
    <row r="231" spans="1:20" x14ac:dyDescent="0.25">
      <c r="A231">
        <v>230</v>
      </c>
      <c r="B231" s="1" t="s">
        <v>1446</v>
      </c>
      <c r="C231" s="1" t="s">
        <v>1447</v>
      </c>
      <c r="D231" s="1" t="s">
        <v>1448</v>
      </c>
      <c r="E231" s="1"/>
      <c r="F231" s="1"/>
      <c r="G231" s="1" t="s">
        <v>644</v>
      </c>
      <c r="H231" s="1" t="s">
        <v>1449</v>
      </c>
      <c r="I231" s="1" t="s">
        <v>1450</v>
      </c>
      <c r="J231" s="1" t="s">
        <v>641</v>
      </c>
      <c r="K231">
        <v>0</v>
      </c>
      <c r="L231">
        <v>1</v>
      </c>
      <c r="M231">
        <v>79</v>
      </c>
      <c r="N231" s="21">
        <v>44415.628849618057</v>
      </c>
      <c r="O231" s="21">
        <v>44415.628849618057</v>
      </c>
      <c r="P231" s="21"/>
      <c r="Q231">
        <v>0</v>
      </c>
      <c r="T231">
        <v>60</v>
      </c>
    </row>
    <row r="232" spans="1:20" x14ac:dyDescent="0.25">
      <c r="A232">
        <v>231</v>
      </c>
      <c r="B232" s="1" t="s">
        <v>1451</v>
      </c>
      <c r="C232" s="1"/>
      <c r="D232" s="1" t="s">
        <v>1452</v>
      </c>
      <c r="E232" s="1"/>
      <c r="F232" s="1"/>
      <c r="G232" s="1" t="s">
        <v>644</v>
      </c>
      <c r="H232" s="1" t="s">
        <v>1453</v>
      </c>
      <c r="I232" s="1" t="s">
        <v>859</v>
      </c>
      <c r="J232" s="1" t="s">
        <v>1454</v>
      </c>
      <c r="K232">
        <v>0</v>
      </c>
      <c r="L232">
        <v>0</v>
      </c>
      <c r="N232" s="21">
        <v>44415.628849618057</v>
      </c>
      <c r="O232" s="21">
        <v>44415.628849618057</v>
      </c>
      <c r="P232" s="21"/>
      <c r="Q232">
        <v>0</v>
      </c>
      <c r="T232">
        <v>60</v>
      </c>
    </row>
    <row r="233" spans="1:20" x14ac:dyDescent="0.25">
      <c r="A233">
        <v>232</v>
      </c>
      <c r="B233" s="1" t="s">
        <v>1455</v>
      </c>
      <c r="C233" s="1" t="s">
        <v>1456</v>
      </c>
      <c r="D233" s="1" t="s">
        <v>1457</v>
      </c>
      <c r="E233" s="1"/>
      <c r="F233" s="1"/>
      <c r="G233" s="1" t="s">
        <v>644</v>
      </c>
      <c r="H233" s="1" t="s">
        <v>1458</v>
      </c>
      <c r="I233" s="1" t="s">
        <v>799</v>
      </c>
      <c r="J233" s="1" t="s">
        <v>641</v>
      </c>
      <c r="K233">
        <v>0</v>
      </c>
      <c r="L233">
        <v>1</v>
      </c>
      <c r="M233">
        <v>677</v>
      </c>
      <c r="N233" s="21">
        <v>44415.628849618057</v>
      </c>
      <c r="O233" s="21">
        <v>44415.628849618057</v>
      </c>
      <c r="P233" s="21"/>
      <c r="Q233">
        <v>0</v>
      </c>
      <c r="T233">
        <v>60</v>
      </c>
    </row>
    <row r="234" spans="1:20" x14ac:dyDescent="0.25">
      <c r="A234">
        <v>233</v>
      </c>
      <c r="B234" s="1" t="s">
        <v>1459</v>
      </c>
      <c r="C234" s="1"/>
      <c r="D234" s="1" t="s">
        <v>1460</v>
      </c>
      <c r="E234" s="1" t="s">
        <v>1461</v>
      </c>
      <c r="F234" s="1"/>
      <c r="G234" s="1" t="s">
        <v>634</v>
      </c>
      <c r="H234" s="1" t="s">
        <v>1462</v>
      </c>
      <c r="I234" s="1" t="s">
        <v>568</v>
      </c>
      <c r="J234" s="1"/>
      <c r="K234">
        <v>0</v>
      </c>
      <c r="L234">
        <v>0</v>
      </c>
      <c r="N234" s="21">
        <v>44415.628849618057</v>
      </c>
      <c r="O234" s="21">
        <v>44415.628849618057</v>
      </c>
      <c r="P234" s="21"/>
      <c r="Q234">
        <v>0</v>
      </c>
      <c r="T234">
        <v>60</v>
      </c>
    </row>
    <row r="235" spans="1:20" x14ac:dyDescent="0.25">
      <c r="A235">
        <v>234</v>
      </c>
      <c r="B235" s="1" t="s">
        <v>1463</v>
      </c>
      <c r="C235" s="1" t="s">
        <v>1464</v>
      </c>
      <c r="D235" s="1" t="s">
        <v>1465</v>
      </c>
      <c r="E235" s="1" t="s">
        <v>1466</v>
      </c>
      <c r="F235" s="1"/>
      <c r="G235" s="1" t="s">
        <v>634</v>
      </c>
      <c r="H235" s="1" t="s">
        <v>1467</v>
      </c>
      <c r="I235" s="1" t="s">
        <v>568</v>
      </c>
      <c r="J235" s="1" t="s">
        <v>636</v>
      </c>
      <c r="K235">
        <v>0</v>
      </c>
      <c r="L235">
        <v>1</v>
      </c>
      <c r="M235">
        <v>66</v>
      </c>
      <c r="N235" s="21">
        <v>44415.628849618057</v>
      </c>
      <c r="O235" s="21">
        <v>44415.628849618057</v>
      </c>
      <c r="P235" s="21"/>
      <c r="Q235">
        <v>0</v>
      </c>
      <c r="T235">
        <v>60</v>
      </c>
    </row>
    <row r="236" spans="1:20" x14ac:dyDescent="0.25">
      <c r="A236">
        <v>235</v>
      </c>
      <c r="B236" s="1" t="s">
        <v>1468</v>
      </c>
      <c r="C236" s="1" t="s">
        <v>1469</v>
      </c>
      <c r="D236" s="1" t="s">
        <v>1470</v>
      </c>
      <c r="E236" s="1"/>
      <c r="F236" s="1"/>
      <c r="G236" s="1" t="s">
        <v>634</v>
      </c>
      <c r="H236" s="1" t="s">
        <v>1471</v>
      </c>
      <c r="I236" s="1" t="s">
        <v>568</v>
      </c>
      <c r="J236" s="1" t="s">
        <v>641</v>
      </c>
      <c r="K236">
        <v>0</v>
      </c>
      <c r="L236">
        <v>1</v>
      </c>
      <c r="M236">
        <v>3817</v>
      </c>
      <c r="N236" s="21">
        <v>44415.628849618057</v>
      </c>
      <c r="O236" s="21">
        <v>44415.628849618057</v>
      </c>
      <c r="P236" s="21"/>
      <c r="Q236">
        <v>0</v>
      </c>
      <c r="T236">
        <v>60</v>
      </c>
    </row>
    <row r="237" spans="1:20" x14ac:dyDescent="0.25">
      <c r="A237">
        <v>236</v>
      </c>
      <c r="B237" s="1" t="s">
        <v>1472</v>
      </c>
      <c r="C237" s="1" t="s">
        <v>1473</v>
      </c>
      <c r="D237" s="1" t="s">
        <v>1474</v>
      </c>
      <c r="E237" s="1" t="s">
        <v>1475</v>
      </c>
      <c r="F237" s="1"/>
      <c r="G237" s="1" t="s">
        <v>634</v>
      </c>
      <c r="H237" s="1" t="s">
        <v>1476</v>
      </c>
      <c r="I237" s="1" t="s">
        <v>568</v>
      </c>
      <c r="J237" s="1"/>
      <c r="K237">
        <v>0</v>
      </c>
      <c r="L237">
        <v>1</v>
      </c>
      <c r="M237">
        <v>13</v>
      </c>
      <c r="N237" s="21">
        <v>44415.628849618057</v>
      </c>
      <c r="O237" s="21">
        <v>44415.628849618057</v>
      </c>
      <c r="P237" s="21"/>
      <c r="Q237">
        <v>0</v>
      </c>
      <c r="T237">
        <v>60</v>
      </c>
    </row>
    <row r="238" spans="1:20" x14ac:dyDescent="0.25">
      <c r="A238">
        <v>237</v>
      </c>
      <c r="B238" s="1" t="s">
        <v>1477</v>
      </c>
      <c r="C238" s="1"/>
      <c r="D238" s="1" t="s">
        <v>1478</v>
      </c>
      <c r="E238" s="1"/>
      <c r="F238" s="1"/>
      <c r="G238" s="1"/>
      <c r="H238" s="1" t="s">
        <v>1479</v>
      </c>
      <c r="I238" s="1"/>
      <c r="J238" s="1" t="s">
        <v>641</v>
      </c>
      <c r="K238">
        <v>0</v>
      </c>
      <c r="L238">
        <v>0</v>
      </c>
      <c r="N238" s="21">
        <v>44415.628849618057</v>
      </c>
      <c r="O238" s="21">
        <v>44415.628849618057</v>
      </c>
      <c r="P238" s="21"/>
      <c r="Q238">
        <v>0</v>
      </c>
      <c r="T238">
        <v>60</v>
      </c>
    </row>
    <row r="239" spans="1:20" x14ac:dyDescent="0.25">
      <c r="A239">
        <v>238</v>
      </c>
      <c r="B239" s="1" t="s">
        <v>1480</v>
      </c>
      <c r="C239" s="1"/>
      <c r="D239" s="1" t="s">
        <v>1481</v>
      </c>
      <c r="E239" s="1"/>
      <c r="F239" s="1"/>
      <c r="G239" s="1" t="s">
        <v>634</v>
      </c>
      <c r="H239" s="1" t="s">
        <v>1482</v>
      </c>
      <c r="I239" s="1"/>
      <c r="J239" s="1"/>
      <c r="K239">
        <v>0</v>
      </c>
      <c r="L239">
        <v>0</v>
      </c>
      <c r="N239" s="21">
        <v>44415.628849618057</v>
      </c>
      <c r="O239" s="21">
        <v>44415.628849618057</v>
      </c>
      <c r="P239" s="21"/>
      <c r="Q239">
        <v>0</v>
      </c>
      <c r="T239">
        <v>60</v>
      </c>
    </row>
    <row r="240" spans="1:20" x14ac:dyDescent="0.25">
      <c r="A240">
        <v>239</v>
      </c>
      <c r="B240" s="1" t="s">
        <v>1483</v>
      </c>
      <c r="C240" s="1" t="s">
        <v>1484</v>
      </c>
      <c r="D240" s="1" t="s">
        <v>1485</v>
      </c>
      <c r="E240" s="1"/>
      <c r="F240" s="1"/>
      <c r="G240" s="1" t="s">
        <v>634</v>
      </c>
      <c r="H240" s="1" t="s">
        <v>1486</v>
      </c>
      <c r="I240" s="1" t="s">
        <v>568</v>
      </c>
      <c r="J240" s="1" t="s">
        <v>636</v>
      </c>
      <c r="K240">
        <v>0</v>
      </c>
      <c r="L240">
        <v>1</v>
      </c>
      <c r="M240">
        <v>51</v>
      </c>
      <c r="N240" s="21">
        <v>44415.628849618057</v>
      </c>
      <c r="O240" s="21">
        <v>44415.628849618057</v>
      </c>
      <c r="P240" s="21"/>
      <c r="Q240">
        <v>0</v>
      </c>
      <c r="T240">
        <v>60</v>
      </c>
    </row>
    <row r="241" spans="1:20" x14ac:dyDescent="0.25">
      <c r="A241">
        <v>240</v>
      </c>
      <c r="B241" s="1" t="s">
        <v>1487</v>
      </c>
      <c r="C241" s="1" t="s">
        <v>1488</v>
      </c>
      <c r="D241" s="1" t="s">
        <v>1489</v>
      </c>
      <c r="E241" s="1"/>
      <c r="F241" s="1"/>
      <c r="G241" s="1" t="s">
        <v>634</v>
      </c>
      <c r="H241" s="1" t="s">
        <v>1490</v>
      </c>
      <c r="I241" s="1" t="s">
        <v>568</v>
      </c>
      <c r="J241" s="1" t="s">
        <v>641</v>
      </c>
      <c r="K241">
        <v>0</v>
      </c>
      <c r="L241">
        <v>1</v>
      </c>
      <c r="M241">
        <v>697</v>
      </c>
      <c r="N241" s="21">
        <v>44415.628849618057</v>
      </c>
      <c r="O241" s="21">
        <v>44415.628849618057</v>
      </c>
      <c r="P241" s="21"/>
      <c r="Q241">
        <v>0</v>
      </c>
      <c r="T241">
        <v>60</v>
      </c>
    </row>
    <row r="242" spans="1:20" x14ac:dyDescent="0.25">
      <c r="A242">
        <v>241</v>
      </c>
      <c r="B242" s="1" t="s">
        <v>1491</v>
      </c>
      <c r="C242" s="1"/>
      <c r="D242" s="1" t="s">
        <v>1492</v>
      </c>
      <c r="E242" s="1"/>
      <c r="F242" s="1"/>
      <c r="G242" s="1" t="s">
        <v>644</v>
      </c>
      <c r="H242" s="1" t="s">
        <v>1493</v>
      </c>
      <c r="I242" s="1" t="s">
        <v>808</v>
      </c>
      <c r="J242" s="1" t="s">
        <v>641</v>
      </c>
      <c r="K242">
        <v>0</v>
      </c>
      <c r="L242">
        <v>0</v>
      </c>
      <c r="N242" s="21">
        <v>44415.628849618057</v>
      </c>
      <c r="O242" s="21">
        <v>44415.628849618057</v>
      </c>
      <c r="P242" s="21"/>
      <c r="Q242">
        <v>0</v>
      </c>
      <c r="T242">
        <v>60</v>
      </c>
    </row>
    <row r="243" spans="1:20" x14ac:dyDescent="0.25">
      <c r="A243">
        <v>242</v>
      </c>
      <c r="B243" s="1" t="s">
        <v>1494</v>
      </c>
      <c r="C243" s="1"/>
      <c r="D243" s="1" t="s">
        <v>1495</v>
      </c>
      <c r="E243" s="1"/>
      <c r="F243" s="1"/>
      <c r="G243" s="1"/>
      <c r="H243" s="1" t="s">
        <v>1496</v>
      </c>
      <c r="I243" s="1"/>
      <c r="J243" s="1"/>
      <c r="K243">
        <v>0</v>
      </c>
      <c r="L243">
        <v>0</v>
      </c>
      <c r="N243" s="21">
        <v>44415.628849618057</v>
      </c>
      <c r="O243" s="21">
        <v>44415.628849618057</v>
      </c>
      <c r="P243" s="21"/>
      <c r="Q243">
        <v>0</v>
      </c>
      <c r="T243">
        <v>60</v>
      </c>
    </row>
    <row r="244" spans="1:20" x14ac:dyDescent="0.25">
      <c r="A244">
        <v>243</v>
      </c>
      <c r="B244" s="1" t="s">
        <v>1497</v>
      </c>
      <c r="C244" s="1"/>
      <c r="D244" s="1" t="s">
        <v>1498</v>
      </c>
      <c r="E244" s="1"/>
      <c r="F244" s="1"/>
      <c r="G244" s="1" t="s">
        <v>644</v>
      </c>
      <c r="H244" s="1" t="s">
        <v>1499</v>
      </c>
      <c r="I244" s="1"/>
      <c r="J244" s="1"/>
      <c r="K244">
        <v>0</v>
      </c>
      <c r="L244">
        <v>0</v>
      </c>
      <c r="N244" s="21">
        <v>44415.628849618057</v>
      </c>
      <c r="O244" s="21">
        <v>44415.628849618057</v>
      </c>
      <c r="P244" s="21"/>
      <c r="Q244">
        <v>0</v>
      </c>
      <c r="T244">
        <v>60</v>
      </c>
    </row>
    <row r="245" spans="1:20" x14ac:dyDescent="0.25">
      <c r="A245">
        <v>244</v>
      </c>
      <c r="B245" s="1" t="s">
        <v>1500</v>
      </c>
      <c r="C245" s="1" t="s">
        <v>1501</v>
      </c>
      <c r="D245" s="1" t="s">
        <v>1502</v>
      </c>
      <c r="E245" s="1"/>
      <c r="F245" s="1"/>
      <c r="G245" s="1" t="s">
        <v>644</v>
      </c>
      <c r="H245" s="1" t="s">
        <v>1503</v>
      </c>
      <c r="I245" s="1" t="s">
        <v>568</v>
      </c>
      <c r="J245" s="1" t="s">
        <v>641</v>
      </c>
      <c r="K245">
        <v>0</v>
      </c>
      <c r="L245">
        <v>1</v>
      </c>
      <c r="M245">
        <v>75</v>
      </c>
      <c r="N245" s="21">
        <v>44415.628849618057</v>
      </c>
      <c r="O245" s="21">
        <v>44415.628849618057</v>
      </c>
      <c r="P245" s="21"/>
      <c r="Q245">
        <v>0</v>
      </c>
      <c r="T245">
        <v>60</v>
      </c>
    </row>
    <row r="246" spans="1:20" x14ac:dyDescent="0.25">
      <c r="A246">
        <v>245</v>
      </c>
      <c r="B246" s="1" t="s">
        <v>1504</v>
      </c>
      <c r="C246" s="1"/>
      <c r="D246" s="1" t="s">
        <v>1505</v>
      </c>
      <c r="E246" s="1"/>
      <c r="F246" s="1" t="s">
        <v>1506</v>
      </c>
      <c r="G246" s="1" t="s">
        <v>634</v>
      </c>
      <c r="H246" s="1" t="s">
        <v>1507</v>
      </c>
      <c r="I246" s="1" t="s">
        <v>1508</v>
      </c>
      <c r="J246" s="1" t="s">
        <v>641</v>
      </c>
      <c r="K246">
        <v>0</v>
      </c>
      <c r="L246">
        <v>0</v>
      </c>
      <c r="N246" s="21">
        <v>44415.628849618057</v>
      </c>
      <c r="O246" s="21">
        <v>44415.628849618057</v>
      </c>
      <c r="P246" s="21"/>
      <c r="Q246">
        <v>0</v>
      </c>
      <c r="T246">
        <v>60</v>
      </c>
    </row>
    <row r="247" spans="1:20" x14ac:dyDescent="0.25">
      <c r="A247">
        <v>246</v>
      </c>
      <c r="B247" s="1" t="s">
        <v>1506</v>
      </c>
      <c r="C247" s="1" t="s">
        <v>1509</v>
      </c>
      <c r="D247" s="1" t="s">
        <v>1510</v>
      </c>
      <c r="E247" s="1"/>
      <c r="F247" s="1"/>
      <c r="G247" s="1" t="s">
        <v>634</v>
      </c>
      <c r="H247" s="1" t="s">
        <v>1511</v>
      </c>
      <c r="I247" s="1" t="s">
        <v>568</v>
      </c>
      <c r="J247" s="1" t="s">
        <v>641</v>
      </c>
      <c r="K247">
        <v>0</v>
      </c>
      <c r="L247">
        <v>1</v>
      </c>
      <c r="M247">
        <v>3880</v>
      </c>
      <c r="N247" s="21">
        <v>44415.628849618057</v>
      </c>
      <c r="O247" s="21">
        <v>44415.628849618057</v>
      </c>
      <c r="P247" s="21"/>
      <c r="Q247">
        <v>0</v>
      </c>
      <c r="T247">
        <v>60</v>
      </c>
    </row>
    <row r="248" spans="1:20" x14ac:dyDescent="0.25">
      <c r="A248">
        <v>247</v>
      </c>
      <c r="B248" s="1" t="s">
        <v>1512</v>
      </c>
      <c r="C248" s="1"/>
      <c r="D248" s="1" t="s">
        <v>1513</v>
      </c>
      <c r="E248" s="1"/>
      <c r="F248" s="1"/>
      <c r="G248" s="1" t="s">
        <v>644</v>
      </c>
      <c r="H248" s="1" t="s">
        <v>1514</v>
      </c>
      <c r="I248" s="1" t="s">
        <v>568</v>
      </c>
      <c r="J248" s="1" t="s">
        <v>636</v>
      </c>
      <c r="K248">
        <v>0</v>
      </c>
      <c r="L248">
        <v>0</v>
      </c>
      <c r="N248" s="21">
        <v>44415.628849618057</v>
      </c>
      <c r="O248" s="21">
        <v>44415.628849618057</v>
      </c>
      <c r="P248" s="21"/>
      <c r="Q248">
        <v>0</v>
      </c>
      <c r="T248">
        <v>60</v>
      </c>
    </row>
    <row r="249" spans="1:20" x14ac:dyDescent="0.25">
      <c r="A249">
        <v>248</v>
      </c>
      <c r="B249" s="1" t="s">
        <v>1515</v>
      </c>
      <c r="C249" s="1"/>
      <c r="D249" s="1" t="s">
        <v>1516</v>
      </c>
      <c r="E249" s="1"/>
      <c r="F249" s="1"/>
      <c r="G249" s="1" t="s">
        <v>713</v>
      </c>
      <c r="H249" s="1" t="s">
        <v>1517</v>
      </c>
      <c r="I249" s="1"/>
      <c r="J249" s="1"/>
      <c r="K249">
        <v>0</v>
      </c>
      <c r="L249">
        <v>0</v>
      </c>
      <c r="N249" s="21">
        <v>44415.628849618057</v>
      </c>
      <c r="O249" s="21">
        <v>44415.628849618057</v>
      </c>
      <c r="P249" s="21"/>
      <c r="Q249">
        <v>0</v>
      </c>
      <c r="T249">
        <v>60</v>
      </c>
    </row>
    <row r="250" spans="1:20" x14ac:dyDescent="0.25">
      <c r="A250">
        <v>249</v>
      </c>
      <c r="B250" s="1" t="s">
        <v>1518</v>
      </c>
      <c r="C250" s="1" t="s">
        <v>1519</v>
      </c>
      <c r="D250" s="1" t="s">
        <v>1520</v>
      </c>
      <c r="E250" s="1" t="s">
        <v>1521</v>
      </c>
      <c r="F250" s="1"/>
      <c r="G250" s="1"/>
      <c r="H250" s="1" t="s">
        <v>1522</v>
      </c>
      <c r="I250" s="1"/>
      <c r="J250" s="1" t="s">
        <v>641</v>
      </c>
      <c r="K250">
        <v>0</v>
      </c>
      <c r="L250">
        <v>1</v>
      </c>
      <c r="M250">
        <v>59</v>
      </c>
      <c r="N250" s="21">
        <v>44415.628849618057</v>
      </c>
      <c r="O250" s="21">
        <v>44415.628849618057</v>
      </c>
      <c r="P250" s="21"/>
      <c r="Q250">
        <v>0</v>
      </c>
      <c r="T250">
        <v>60</v>
      </c>
    </row>
    <row r="251" spans="1:20" x14ac:dyDescent="0.25">
      <c r="A251">
        <v>250</v>
      </c>
      <c r="B251" s="1" t="s">
        <v>1523</v>
      </c>
      <c r="C251" s="1"/>
      <c r="D251" s="1" t="s">
        <v>1524</v>
      </c>
      <c r="E251" s="1"/>
      <c r="F251" s="1"/>
      <c r="G251" s="1" t="s">
        <v>644</v>
      </c>
      <c r="H251" s="1" t="s">
        <v>1525</v>
      </c>
      <c r="I251" s="1"/>
      <c r="J251" s="1"/>
      <c r="K251">
        <v>0</v>
      </c>
      <c r="L251">
        <v>0</v>
      </c>
      <c r="N251" s="21">
        <v>44415.628849618057</v>
      </c>
      <c r="O251" s="21">
        <v>44415.628849618057</v>
      </c>
      <c r="P251" s="21"/>
      <c r="Q251">
        <v>0</v>
      </c>
      <c r="T251">
        <v>60</v>
      </c>
    </row>
    <row r="252" spans="1:20" x14ac:dyDescent="0.25">
      <c r="A252">
        <v>251</v>
      </c>
      <c r="B252" s="1" t="s">
        <v>1526</v>
      </c>
      <c r="C252" s="1"/>
      <c r="D252" s="1" t="s">
        <v>1527</v>
      </c>
      <c r="E252" s="1"/>
      <c r="F252" s="1"/>
      <c r="G252" s="1" t="s">
        <v>713</v>
      </c>
      <c r="H252" s="1" t="s">
        <v>1528</v>
      </c>
      <c r="I252" s="1"/>
      <c r="J252" s="1"/>
      <c r="K252">
        <v>0</v>
      </c>
      <c r="L252">
        <v>0</v>
      </c>
      <c r="N252" s="21">
        <v>44415.628849618057</v>
      </c>
      <c r="O252" s="21">
        <v>44415.628849618057</v>
      </c>
      <c r="P252" s="21"/>
      <c r="Q252">
        <v>0</v>
      </c>
      <c r="T252">
        <v>60</v>
      </c>
    </row>
    <row r="253" spans="1:20" x14ac:dyDescent="0.25">
      <c r="A253">
        <v>252</v>
      </c>
      <c r="B253" s="1" t="s">
        <v>1529</v>
      </c>
      <c r="C253" s="1"/>
      <c r="D253" s="1" t="s">
        <v>1530</v>
      </c>
      <c r="E253" s="1"/>
      <c r="F253" s="1"/>
      <c r="G253" s="1" t="s">
        <v>644</v>
      </c>
      <c r="H253" s="1" t="s">
        <v>1531</v>
      </c>
      <c r="I253" s="1"/>
      <c r="J253" s="1"/>
      <c r="K253">
        <v>0</v>
      </c>
      <c r="L253">
        <v>0</v>
      </c>
      <c r="N253" s="21">
        <v>44415.628849618057</v>
      </c>
      <c r="O253" s="21">
        <v>44415.628849618057</v>
      </c>
      <c r="P253" s="21"/>
      <c r="Q253">
        <v>0</v>
      </c>
      <c r="T253">
        <v>60</v>
      </c>
    </row>
    <row r="254" spans="1:20" x14ac:dyDescent="0.25">
      <c r="A254">
        <v>253</v>
      </c>
      <c r="B254" s="1" t="s">
        <v>1532</v>
      </c>
      <c r="C254" s="1"/>
      <c r="D254" s="1" t="s">
        <v>1533</v>
      </c>
      <c r="E254" s="1"/>
      <c r="F254" s="1"/>
      <c r="G254" s="1"/>
      <c r="H254" s="1" t="s">
        <v>1534</v>
      </c>
      <c r="I254" s="1"/>
      <c r="J254" s="1"/>
      <c r="K254">
        <v>0</v>
      </c>
      <c r="L254">
        <v>0</v>
      </c>
      <c r="N254" s="21">
        <v>44415.628849618057</v>
      </c>
      <c r="O254" s="21">
        <v>44415.628849618057</v>
      </c>
      <c r="P254" s="21"/>
      <c r="Q254">
        <v>0</v>
      </c>
      <c r="T254">
        <v>60</v>
      </c>
    </row>
    <row r="255" spans="1:20" x14ac:dyDescent="0.25">
      <c r="A255">
        <v>254</v>
      </c>
      <c r="B255" s="1" t="s">
        <v>1535</v>
      </c>
      <c r="C255" s="1"/>
      <c r="D255" s="1" t="s">
        <v>1536</v>
      </c>
      <c r="E255" s="1"/>
      <c r="F255" s="1"/>
      <c r="G255" s="1" t="s">
        <v>644</v>
      </c>
      <c r="H255" s="1" t="s">
        <v>1537</v>
      </c>
      <c r="I255" s="1"/>
      <c r="J255" s="1" t="s">
        <v>641</v>
      </c>
      <c r="K255">
        <v>0</v>
      </c>
      <c r="L255">
        <v>0</v>
      </c>
      <c r="N255" s="21">
        <v>44415.628849618057</v>
      </c>
      <c r="O255" s="21">
        <v>44415.628849618057</v>
      </c>
      <c r="P255" s="21"/>
      <c r="Q255">
        <v>0</v>
      </c>
      <c r="T255">
        <v>60</v>
      </c>
    </row>
    <row r="256" spans="1:20" x14ac:dyDescent="0.25">
      <c r="A256">
        <v>255</v>
      </c>
      <c r="B256" s="1" t="s">
        <v>1538</v>
      </c>
      <c r="C256" s="1"/>
      <c r="D256" s="1" t="s">
        <v>1539</v>
      </c>
      <c r="E256" s="1"/>
      <c r="F256" s="1"/>
      <c r="G256" s="1" t="s">
        <v>644</v>
      </c>
      <c r="H256" s="1" t="s">
        <v>1540</v>
      </c>
      <c r="I256" s="1" t="s">
        <v>568</v>
      </c>
      <c r="J256" s="1" t="s">
        <v>636</v>
      </c>
      <c r="K256">
        <v>0</v>
      </c>
      <c r="L256">
        <v>0</v>
      </c>
      <c r="N256" s="21">
        <v>44415.628849618057</v>
      </c>
      <c r="O256" s="21">
        <v>44415.628849618057</v>
      </c>
      <c r="P256" s="21"/>
      <c r="Q256">
        <v>0</v>
      </c>
      <c r="T256">
        <v>60</v>
      </c>
    </row>
    <row r="257" spans="1:20" x14ac:dyDescent="0.25">
      <c r="A257">
        <v>256</v>
      </c>
      <c r="B257" s="1" t="s">
        <v>1541</v>
      </c>
      <c r="C257" s="1"/>
      <c r="D257" s="1" t="s">
        <v>1542</v>
      </c>
      <c r="E257" s="1"/>
      <c r="F257" s="1"/>
      <c r="G257" s="1" t="s">
        <v>644</v>
      </c>
      <c r="H257" s="1"/>
      <c r="I257" s="1" t="s">
        <v>690</v>
      </c>
      <c r="J257" s="1" t="s">
        <v>641</v>
      </c>
      <c r="K257">
        <v>0</v>
      </c>
      <c r="L257">
        <v>0</v>
      </c>
      <c r="N257" s="21">
        <v>44415.628849618057</v>
      </c>
      <c r="O257" s="21">
        <v>44415.628849618057</v>
      </c>
      <c r="P257" s="21"/>
      <c r="Q257">
        <v>0</v>
      </c>
      <c r="T257">
        <v>60</v>
      </c>
    </row>
    <row r="258" spans="1:20" x14ac:dyDescent="0.25">
      <c r="A258">
        <v>257</v>
      </c>
      <c r="B258" s="1" t="s">
        <v>1543</v>
      </c>
      <c r="C258" s="1"/>
      <c r="D258" s="1" t="s">
        <v>1544</v>
      </c>
      <c r="E258" s="1"/>
      <c r="F258" s="1"/>
      <c r="G258" s="1" t="s">
        <v>644</v>
      </c>
      <c r="H258" s="1" t="s">
        <v>1545</v>
      </c>
      <c r="I258" s="1"/>
      <c r="J258" s="1"/>
      <c r="K258">
        <v>0</v>
      </c>
      <c r="L258">
        <v>1</v>
      </c>
      <c r="N258" s="21">
        <v>44415.628849618057</v>
      </c>
      <c r="O258" s="21">
        <v>44415.628849618057</v>
      </c>
      <c r="P258" s="21"/>
      <c r="Q258">
        <v>0</v>
      </c>
      <c r="T258">
        <v>60</v>
      </c>
    </row>
    <row r="259" spans="1:20" x14ac:dyDescent="0.25">
      <c r="A259">
        <v>258</v>
      </c>
      <c r="B259" s="1" t="s">
        <v>1546</v>
      </c>
      <c r="C259" s="1"/>
      <c r="D259" s="1" t="s">
        <v>1547</v>
      </c>
      <c r="E259" s="1"/>
      <c r="F259" s="1"/>
      <c r="G259" s="1" t="s">
        <v>644</v>
      </c>
      <c r="H259" s="1" t="s">
        <v>1548</v>
      </c>
      <c r="I259" s="1"/>
      <c r="J259" s="1"/>
      <c r="K259">
        <v>0</v>
      </c>
      <c r="L259">
        <v>0</v>
      </c>
      <c r="N259" s="21">
        <v>44415.628849618057</v>
      </c>
      <c r="O259" s="21">
        <v>44415.628849618057</v>
      </c>
      <c r="P259" s="21"/>
      <c r="Q259">
        <v>0</v>
      </c>
      <c r="T259">
        <v>60</v>
      </c>
    </row>
    <row r="260" spans="1:20" x14ac:dyDescent="0.25">
      <c r="A260">
        <v>259</v>
      </c>
      <c r="B260" s="1" t="s">
        <v>1549</v>
      </c>
      <c r="C260" s="1"/>
      <c r="D260" s="1" t="s">
        <v>1550</v>
      </c>
      <c r="E260" s="1"/>
      <c r="F260" s="1"/>
      <c r="G260" s="1" t="s">
        <v>644</v>
      </c>
      <c r="H260" s="1" t="s">
        <v>1551</v>
      </c>
      <c r="I260" s="1" t="s">
        <v>568</v>
      </c>
      <c r="J260" s="1" t="s">
        <v>641</v>
      </c>
      <c r="K260">
        <v>0</v>
      </c>
      <c r="L260">
        <v>0</v>
      </c>
      <c r="N260" s="21">
        <v>44415.628849618057</v>
      </c>
      <c r="O260" s="21">
        <v>44415.628849618057</v>
      </c>
      <c r="P260" s="21"/>
      <c r="Q260">
        <v>0</v>
      </c>
      <c r="T260">
        <v>60</v>
      </c>
    </row>
    <row r="261" spans="1:20" x14ac:dyDescent="0.25">
      <c r="A261">
        <v>260</v>
      </c>
      <c r="B261" s="1" t="s">
        <v>1552</v>
      </c>
      <c r="C261" s="1" t="s">
        <v>1553</v>
      </c>
      <c r="D261" s="1" t="s">
        <v>1554</v>
      </c>
      <c r="E261" s="1"/>
      <c r="F261" s="1"/>
      <c r="G261" s="1" t="s">
        <v>634</v>
      </c>
      <c r="H261" s="1" t="s">
        <v>1555</v>
      </c>
      <c r="I261" s="1" t="s">
        <v>568</v>
      </c>
      <c r="J261" s="1" t="s">
        <v>641</v>
      </c>
      <c r="K261">
        <v>0</v>
      </c>
      <c r="L261">
        <v>1</v>
      </c>
      <c r="M261">
        <v>38</v>
      </c>
      <c r="N261" s="21">
        <v>44415.628849618057</v>
      </c>
      <c r="O261" s="21">
        <v>44415.628849618057</v>
      </c>
      <c r="P261" s="21"/>
      <c r="Q261">
        <v>0</v>
      </c>
      <c r="T261">
        <v>60</v>
      </c>
    </row>
    <row r="262" spans="1:20" x14ac:dyDescent="0.25">
      <c r="A262">
        <v>261</v>
      </c>
      <c r="B262" s="1" t="s">
        <v>1556</v>
      </c>
      <c r="C262" s="1"/>
      <c r="D262" s="1" t="s">
        <v>1557</v>
      </c>
      <c r="E262" s="1"/>
      <c r="F262" s="1"/>
      <c r="G262" s="1" t="s">
        <v>634</v>
      </c>
      <c r="H262" s="1" t="s">
        <v>1558</v>
      </c>
      <c r="I262" s="1" t="s">
        <v>568</v>
      </c>
      <c r="J262" s="1"/>
      <c r="K262">
        <v>0</v>
      </c>
      <c r="L262">
        <v>0</v>
      </c>
      <c r="N262" s="21">
        <v>44415.628849618057</v>
      </c>
      <c r="O262" s="21">
        <v>44415.628849618057</v>
      </c>
      <c r="P262" s="21"/>
      <c r="Q262">
        <v>0</v>
      </c>
      <c r="T262">
        <v>60</v>
      </c>
    </row>
    <row r="263" spans="1:20" x14ac:dyDescent="0.25">
      <c r="A263">
        <v>262</v>
      </c>
      <c r="B263" s="1" t="s">
        <v>1559</v>
      </c>
      <c r="C263" s="1"/>
      <c r="D263" s="1" t="s">
        <v>1560</v>
      </c>
      <c r="E263" s="1"/>
      <c r="F263" s="1"/>
      <c r="G263" s="1" t="s">
        <v>644</v>
      </c>
      <c r="H263" s="1" t="s">
        <v>1561</v>
      </c>
      <c r="I263" s="1"/>
      <c r="J263" s="1"/>
      <c r="K263">
        <v>0</v>
      </c>
      <c r="L263">
        <v>0</v>
      </c>
      <c r="N263" s="21">
        <v>44415.628849618057</v>
      </c>
      <c r="O263" s="21">
        <v>44415.628849618057</v>
      </c>
      <c r="P263" s="21"/>
      <c r="Q263">
        <v>0</v>
      </c>
      <c r="T263">
        <v>60</v>
      </c>
    </row>
    <row r="264" spans="1:20" x14ac:dyDescent="0.25">
      <c r="A264">
        <v>263</v>
      </c>
      <c r="B264" s="1" t="s">
        <v>1562</v>
      </c>
      <c r="C264" s="1" t="s">
        <v>1563</v>
      </c>
      <c r="D264" s="1" t="s">
        <v>1564</v>
      </c>
      <c r="E264" s="1"/>
      <c r="F264" s="1"/>
      <c r="G264" s="1" t="s">
        <v>634</v>
      </c>
      <c r="H264" s="1" t="s">
        <v>1565</v>
      </c>
      <c r="I264" s="1" t="s">
        <v>753</v>
      </c>
      <c r="J264" s="1" t="s">
        <v>641</v>
      </c>
      <c r="K264">
        <v>0</v>
      </c>
      <c r="L264">
        <v>1</v>
      </c>
      <c r="M264">
        <v>4824</v>
      </c>
      <c r="N264" s="21">
        <v>44415.628849618057</v>
      </c>
      <c r="O264" s="21">
        <v>44415.628849618057</v>
      </c>
      <c r="P264" s="21"/>
      <c r="Q264">
        <v>0</v>
      </c>
      <c r="T264">
        <v>60</v>
      </c>
    </row>
    <row r="265" spans="1:20" x14ac:dyDescent="0.25">
      <c r="A265">
        <v>264</v>
      </c>
      <c r="B265" s="1" t="s">
        <v>1566</v>
      </c>
      <c r="C265" s="1"/>
      <c r="D265" s="1" t="s">
        <v>1567</v>
      </c>
      <c r="E265" s="1"/>
      <c r="F265" s="1"/>
      <c r="G265" s="1" t="s">
        <v>634</v>
      </c>
      <c r="H265" s="1" t="s">
        <v>1568</v>
      </c>
      <c r="I265" s="1" t="s">
        <v>1071</v>
      </c>
      <c r="J265" s="1" t="s">
        <v>641</v>
      </c>
      <c r="K265">
        <v>0</v>
      </c>
      <c r="L265">
        <v>0</v>
      </c>
      <c r="N265" s="21">
        <v>44415.628849618057</v>
      </c>
      <c r="O265" s="21">
        <v>44415.628849618057</v>
      </c>
      <c r="P265" s="21"/>
      <c r="Q265">
        <v>0</v>
      </c>
      <c r="T265">
        <v>60</v>
      </c>
    </row>
    <row r="266" spans="1:20" x14ac:dyDescent="0.25">
      <c r="A266">
        <v>265</v>
      </c>
      <c r="B266" s="1" t="s">
        <v>1569</v>
      </c>
      <c r="C266" s="1"/>
      <c r="D266" s="1" t="s">
        <v>1570</v>
      </c>
      <c r="E266" s="1"/>
      <c r="F266" s="1"/>
      <c r="G266" s="1" t="s">
        <v>634</v>
      </c>
      <c r="H266" s="1" t="s">
        <v>1571</v>
      </c>
      <c r="I266" s="1" t="s">
        <v>568</v>
      </c>
      <c r="J266" s="1" t="s">
        <v>641</v>
      </c>
      <c r="K266">
        <v>0</v>
      </c>
      <c r="L266">
        <v>0</v>
      </c>
      <c r="N266" s="21">
        <v>44415.628849618057</v>
      </c>
      <c r="O266" s="21">
        <v>44415.628849618057</v>
      </c>
      <c r="P266" s="21"/>
      <c r="Q266">
        <v>0</v>
      </c>
      <c r="T266">
        <v>60</v>
      </c>
    </row>
    <row r="267" spans="1:20" x14ac:dyDescent="0.25">
      <c r="A267">
        <v>266</v>
      </c>
      <c r="B267" s="1" t="s">
        <v>1572</v>
      </c>
      <c r="C267" s="1"/>
      <c r="D267" s="1" t="s">
        <v>1573</v>
      </c>
      <c r="E267" s="1"/>
      <c r="F267" s="1"/>
      <c r="G267" s="1" t="s">
        <v>634</v>
      </c>
      <c r="H267" s="1" t="s">
        <v>1574</v>
      </c>
      <c r="I267" s="1" t="s">
        <v>568</v>
      </c>
      <c r="J267" s="1" t="s">
        <v>636</v>
      </c>
      <c r="K267">
        <v>0</v>
      </c>
      <c r="L267">
        <v>0</v>
      </c>
      <c r="N267" s="21">
        <v>44415.628849618057</v>
      </c>
      <c r="O267" s="21">
        <v>44415.628849618057</v>
      </c>
      <c r="P267" s="21"/>
      <c r="Q267">
        <v>0</v>
      </c>
      <c r="T267">
        <v>60</v>
      </c>
    </row>
    <row r="268" spans="1:20" x14ac:dyDescent="0.25">
      <c r="A268">
        <v>267</v>
      </c>
      <c r="B268" s="1" t="s">
        <v>1575</v>
      </c>
      <c r="C268" s="1"/>
      <c r="D268" s="1" t="s">
        <v>1576</v>
      </c>
      <c r="E268" s="1"/>
      <c r="F268" s="1"/>
      <c r="G268" s="1" t="s">
        <v>634</v>
      </c>
      <c r="H268" s="1" t="s">
        <v>1577</v>
      </c>
      <c r="I268" s="1"/>
      <c r="J268" s="1"/>
      <c r="K268">
        <v>0</v>
      </c>
      <c r="L268">
        <v>0</v>
      </c>
      <c r="N268" s="21">
        <v>44415.628849618057</v>
      </c>
      <c r="O268" s="21">
        <v>44415.628849618057</v>
      </c>
      <c r="P268" s="21"/>
      <c r="Q268">
        <v>0</v>
      </c>
      <c r="T268">
        <v>60</v>
      </c>
    </row>
    <row r="269" spans="1:20" x14ac:dyDescent="0.25">
      <c r="A269">
        <v>268</v>
      </c>
      <c r="B269" s="1" t="s">
        <v>1578</v>
      </c>
      <c r="C269" s="1"/>
      <c r="D269" s="1" t="s">
        <v>1579</v>
      </c>
      <c r="E269" s="1"/>
      <c r="F269" s="1"/>
      <c r="G269" s="1" t="s">
        <v>634</v>
      </c>
      <c r="H269" s="1" t="s">
        <v>1580</v>
      </c>
      <c r="I269" s="1"/>
      <c r="J269" s="1"/>
      <c r="K269">
        <v>0</v>
      </c>
      <c r="L269">
        <v>0</v>
      </c>
      <c r="N269" s="21">
        <v>44415.628849618057</v>
      </c>
      <c r="O269" s="21">
        <v>44415.628849618057</v>
      </c>
      <c r="P269" s="21"/>
      <c r="Q269">
        <v>0</v>
      </c>
      <c r="T269">
        <v>60</v>
      </c>
    </row>
    <row r="270" spans="1:20" x14ac:dyDescent="0.25">
      <c r="A270">
        <v>269</v>
      </c>
      <c r="B270" s="1" t="s">
        <v>1581</v>
      </c>
      <c r="C270" s="1"/>
      <c r="D270" s="1" t="s">
        <v>1582</v>
      </c>
      <c r="E270" s="1"/>
      <c r="F270" s="1"/>
      <c r="G270" s="1" t="s">
        <v>634</v>
      </c>
      <c r="H270" s="1" t="s">
        <v>1583</v>
      </c>
      <c r="I270" s="1" t="s">
        <v>568</v>
      </c>
      <c r="J270" s="1" t="s">
        <v>636</v>
      </c>
      <c r="K270">
        <v>0</v>
      </c>
      <c r="L270">
        <v>0</v>
      </c>
      <c r="N270" s="21">
        <v>44415.628849618057</v>
      </c>
      <c r="O270" s="21">
        <v>44415.628849618057</v>
      </c>
      <c r="P270" s="21"/>
      <c r="Q270">
        <v>0</v>
      </c>
      <c r="T270">
        <v>60</v>
      </c>
    </row>
    <row r="271" spans="1:20" x14ac:dyDescent="0.25">
      <c r="A271">
        <v>270</v>
      </c>
      <c r="B271" s="1" t="s">
        <v>1584</v>
      </c>
      <c r="C271" s="1"/>
      <c r="D271" s="1" t="s">
        <v>1585</v>
      </c>
      <c r="E271" s="1"/>
      <c r="F271" s="1"/>
      <c r="G271" s="1"/>
      <c r="H271" s="1" t="s">
        <v>1586</v>
      </c>
      <c r="I271" s="1"/>
      <c r="J271" s="1" t="s">
        <v>641</v>
      </c>
      <c r="K271">
        <v>0</v>
      </c>
      <c r="L271">
        <v>0</v>
      </c>
      <c r="N271" s="21">
        <v>44415.628849618057</v>
      </c>
      <c r="O271" s="21">
        <v>44415.628849618057</v>
      </c>
      <c r="P271" s="21"/>
      <c r="Q271">
        <v>0</v>
      </c>
      <c r="T271">
        <v>60</v>
      </c>
    </row>
    <row r="272" spans="1:20" x14ac:dyDescent="0.25">
      <c r="A272">
        <v>271</v>
      </c>
      <c r="B272" s="1" t="s">
        <v>1587</v>
      </c>
      <c r="C272" s="1"/>
      <c r="D272" s="1" t="s">
        <v>1588</v>
      </c>
      <c r="E272" s="1"/>
      <c r="F272" s="1"/>
      <c r="G272" s="1" t="s">
        <v>713</v>
      </c>
      <c r="H272" s="1" t="s">
        <v>1589</v>
      </c>
      <c r="I272" s="1" t="s">
        <v>690</v>
      </c>
      <c r="J272" s="1" t="s">
        <v>641</v>
      </c>
      <c r="K272">
        <v>0</v>
      </c>
      <c r="L272">
        <v>0</v>
      </c>
      <c r="N272" s="21">
        <v>44415.628849618057</v>
      </c>
      <c r="O272" s="21">
        <v>44415.628849618057</v>
      </c>
      <c r="P272" s="21"/>
      <c r="Q272">
        <v>0</v>
      </c>
      <c r="T272">
        <v>60</v>
      </c>
    </row>
    <row r="273" spans="1:20" x14ac:dyDescent="0.25">
      <c r="A273">
        <v>272</v>
      </c>
      <c r="B273" s="1" t="s">
        <v>1590</v>
      </c>
      <c r="C273" s="1"/>
      <c r="D273" s="1" t="s">
        <v>1591</v>
      </c>
      <c r="E273" s="1"/>
      <c r="F273" s="1"/>
      <c r="G273" s="1" t="s">
        <v>634</v>
      </c>
      <c r="H273" s="1" t="s">
        <v>1592</v>
      </c>
      <c r="I273" s="1"/>
      <c r="J273" s="1"/>
      <c r="K273">
        <v>0</v>
      </c>
      <c r="L273">
        <v>1</v>
      </c>
      <c r="N273" s="21">
        <v>44415.628849618057</v>
      </c>
      <c r="O273" s="21">
        <v>44415.628849618057</v>
      </c>
      <c r="P273" s="21"/>
      <c r="Q273">
        <v>0</v>
      </c>
      <c r="T273">
        <v>60</v>
      </c>
    </row>
    <row r="274" spans="1:20" x14ac:dyDescent="0.25">
      <c r="A274">
        <v>273</v>
      </c>
      <c r="B274" s="1" t="s">
        <v>1593</v>
      </c>
      <c r="C274" s="1"/>
      <c r="D274" s="1" t="s">
        <v>1594</v>
      </c>
      <c r="E274" s="1"/>
      <c r="F274" s="1"/>
      <c r="G274" s="1" t="s">
        <v>644</v>
      </c>
      <c r="H274" s="1" t="s">
        <v>1595</v>
      </c>
      <c r="I274" s="1"/>
      <c r="J274" s="1"/>
      <c r="K274">
        <v>0</v>
      </c>
      <c r="L274">
        <v>0</v>
      </c>
      <c r="N274" s="21">
        <v>44415.628849618057</v>
      </c>
      <c r="O274" s="21">
        <v>44415.628849618057</v>
      </c>
      <c r="P274" s="21"/>
      <c r="Q274">
        <v>0</v>
      </c>
      <c r="T274">
        <v>60</v>
      </c>
    </row>
    <row r="275" spans="1:20" x14ac:dyDescent="0.25">
      <c r="A275">
        <v>274</v>
      </c>
      <c r="B275" s="1" t="s">
        <v>1596</v>
      </c>
      <c r="C275" s="1"/>
      <c r="D275" s="1" t="s">
        <v>1597</v>
      </c>
      <c r="E275" s="1"/>
      <c r="F275" s="1"/>
      <c r="G275" s="1" t="s">
        <v>644</v>
      </c>
      <c r="H275" s="1" t="s">
        <v>1598</v>
      </c>
      <c r="I275" s="1" t="s">
        <v>690</v>
      </c>
      <c r="J275" s="1" t="s">
        <v>641</v>
      </c>
      <c r="K275">
        <v>0</v>
      </c>
      <c r="L275">
        <v>0</v>
      </c>
      <c r="N275" s="21">
        <v>44415.628849618057</v>
      </c>
      <c r="O275" s="21">
        <v>44415.628849618057</v>
      </c>
      <c r="P275" s="21"/>
      <c r="Q275">
        <v>0</v>
      </c>
      <c r="T275">
        <v>60</v>
      </c>
    </row>
    <row r="276" spans="1:20" x14ac:dyDescent="0.25">
      <c r="A276">
        <v>275</v>
      </c>
      <c r="B276" s="1" t="s">
        <v>1599</v>
      </c>
      <c r="C276" s="1" t="s">
        <v>1600</v>
      </c>
      <c r="D276" s="1" t="s">
        <v>1601</v>
      </c>
      <c r="E276" s="1"/>
      <c r="F276" s="1"/>
      <c r="G276" s="1" t="s">
        <v>1222</v>
      </c>
      <c r="H276" s="1" t="s">
        <v>1602</v>
      </c>
      <c r="I276" s="1" t="s">
        <v>737</v>
      </c>
      <c r="J276" s="1" t="s">
        <v>1253</v>
      </c>
      <c r="K276">
        <v>1</v>
      </c>
      <c r="L276">
        <v>0</v>
      </c>
      <c r="N276" s="21">
        <v>44415.628849618057</v>
      </c>
      <c r="O276" s="21">
        <v>44415.628849618057</v>
      </c>
      <c r="P276" s="21"/>
      <c r="Q276">
        <v>0</v>
      </c>
      <c r="T276">
        <v>60</v>
      </c>
    </row>
    <row r="277" spans="1:20" x14ac:dyDescent="0.25">
      <c r="A277">
        <v>276</v>
      </c>
      <c r="B277" s="1" t="s">
        <v>1603</v>
      </c>
      <c r="C277" s="1"/>
      <c r="D277" s="1" t="s">
        <v>1604</v>
      </c>
      <c r="E277" s="1"/>
      <c r="F277" s="1"/>
      <c r="G277" s="1" t="s">
        <v>644</v>
      </c>
      <c r="H277" s="1" t="s">
        <v>1605</v>
      </c>
      <c r="I277" s="1"/>
      <c r="J277" s="1"/>
      <c r="K277">
        <v>0</v>
      </c>
      <c r="L277">
        <v>0</v>
      </c>
      <c r="N277" s="21">
        <v>44415.628849618057</v>
      </c>
      <c r="O277" s="21">
        <v>44415.628849618057</v>
      </c>
      <c r="P277" s="21"/>
      <c r="Q277">
        <v>0</v>
      </c>
      <c r="T277">
        <v>60</v>
      </c>
    </row>
    <row r="278" spans="1:20" x14ac:dyDescent="0.25">
      <c r="A278">
        <v>277</v>
      </c>
      <c r="B278" s="1" t="s">
        <v>1606</v>
      </c>
      <c r="C278" s="1"/>
      <c r="D278" s="1" t="s">
        <v>1607</v>
      </c>
      <c r="E278" s="1"/>
      <c r="F278" s="1"/>
      <c r="G278" s="1"/>
      <c r="H278" s="1" t="s">
        <v>1608</v>
      </c>
      <c r="I278" s="1"/>
      <c r="J278" s="1"/>
      <c r="K278">
        <v>0</v>
      </c>
      <c r="L278">
        <v>0</v>
      </c>
      <c r="N278" s="21">
        <v>44415.628849618057</v>
      </c>
      <c r="O278" s="21">
        <v>44415.628849618057</v>
      </c>
      <c r="P278" s="21"/>
      <c r="Q278">
        <v>0</v>
      </c>
      <c r="T278">
        <v>60</v>
      </c>
    </row>
    <row r="279" spans="1:20" x14ac:dyDescent="0.25">
      <c r="A279">
        <v>278</v>
      </c>
      <c r="B279" s="1" t="s">
        <v>1609</v>
      </c>
      <c r="C279" s="1"/>
      <c r="D279" s="1" t="s">
        <v>1610</v>
      </c>
      <c r="E279" s="1"/>
      <c r="F279" s="1"/>
      <c r="G279" s="1" t="s">
        <v>634</v>
      </c>
      <c r="H279" s="1" t="s">
        <v>1611</v>
      </c>
      <c r="I279" s="1" t="s">
        <v>859</v>
      </c>
      <c r="J279" s="1" t="s">
        <v>641</v>
      </c>
      <c r="K279">
        <v>0</v>
      </c>
      <c r="L279">
        <v>0</v>
      </c>
      <c r="N279" s="21">
        <v>44415.628849618057</v>
      </c>
      <c r="O279" s="21">
        <v>44415.628849618057</v>
      </c>
      <c r="P279" s="21"/>
      <c r="Q279">
        <v>0</v>
      </c>
      <c r="T279">
        <v>60</v>
      </c>
    </row>
    <row r="280" spans="1:20" x14ac:dyDescent="0.25">
      <c r="A280">
        <v>279</v>
      </c>
      <c r="B280" s="1" t="s">
        <v>1612</v>
      </c>
      <c r="C280" s="1"/>
      <c r="D280" s="1" t="s">
        <v>1613</v>
      </c>
      <c r="E280" s="1"/>
      <c r="F280" s="1"/>
      <c r="G280" s="1" t="s">
        <v>634</v>
      </c>
      <c r="H280" s="1" t="s">
        <v>1614</v>
      </c>
      <c r="I280" s="1"/>
      <c r="J280" s="1"/>
      <c r="K280">
        <v>0</v>
      </c>
      <c r="L280">
        <v>0</v>
      </c>
      <c r="N280" s="21">
        <v>44415.628849618057</v>
      </c>
      <c r="O280" s="21">
        <v>44415.628849618057</v>
      </c>
      <c r="P280" s="21"/>
      <c r="Q280">
        <v>0</v>
      </c>
      <c r="T280">
        <v>60</v>
      </c>
    </row>
    <row r="281" spans="1:20" x14ac:dyDescent="0.25">
      <c r="A281">
        <v>280</v>
      </c>
      <c r="B281" s="1" t="s">
        <v>1615</v>
      </c>
      <c r="C281" s="1"/>
      <c r="D281" s="1" t="s">
        <v>1616</v>
      </c>
      <c r="E281" s="1"/>
      <c r="F281" s="1"/>
      <c r="G281" s="1"/>
      <c r="H281" s="1" t="s">
        <v>1617</v>
      </c>
      <c r="I281" s="1"/>
      <c r="J281" s="1"/>
      <c r="K281">
        <v>0</v>
      </c>
      <c r="L281">
        <v>0</v>
      </c>
      <c r="N281" s="21">
        <v>44415.628849618057</v>
      </c>
      <c r="O281" s="21">
        <v>44415.628849618057</v>
      </c>
      <c r="P281" s="21"/>
      <c r="Q281">
        <v>0</v>
      </c>
      <c r="T281">
        <v>60</v>
      </c>
    </row>
    <row r="282" spans="1:20" x14ac:dyDescent="0.25">
      <c r="A282">
        <v>281</v>
      </c>
      <c r="B282" s="1" t="s">
        <v>1618</v>
      </c>
      <c r="C282" s="1"/>
      <c r="D282" s="1" t="s">
        <v>1619</v>
      </c>
      <c r="E282" s="1"/>
      <c r="F282" s="1"/>
      <c r="G282" s="1" t="s">
        <v>634</v>
      </c>
      <c r="H282" s="1" t="s">
        <v>1620</v>
      </c>
      <c r="I282" s="1"/>
      <c r="J282" s="1"/>
      <c r="K282">
        <v>0</v>
      </c>
      <c r="L282">
        <v>0</v>
      </c>
      <c r="N282" s="21">
        <v>44415.628849618057</v>
      </c>
      <c r="O282" s="21">
        <v>44415.628849618057</v>
      </c>
      <c r="P282" s="21"/>
      <c r="Q282">
        <v>0</v>
      </c>
      <c r="T282">
        <v>60</v>
      </c>
    </row>
    <row r="283" spans="1:20" x14ac:dyDescent="0.25">
      <c r="A283">
        <v>282</v>
      </c>
      <c r="B283" s="1" t="s">
        <v>1621</v>
      </c>
      <c r="C283" s="1" t="s">
        <v>1622</v>
      </c>
      <c r="D283" s="1" t="s">
        <v>1623</v>
      </c>
      <c r="E283" s="1"/>
      <c r="F283" s="1"/>
      <c r="G283" s="1" t="s">
        <v>634</v>
      </c>
      <c r="H283" s="1" t="s">
        <v>1624</v>
      </c>
      <c r="I283" s="1" t="s">
        <v>568</v>
      </c>
      <c r="J283" s="1" t="s">
        <v>641</v>
      </c>
      <c r="K283">
        <v>0</v>
      </c>
      <c r="L283">
        <v>1</v>
      </c>
      <c r="M283">
        <v>123</v>
      </c>
      <c r="N283" s="21">
        <v>44415.628849618057</v>
      </c>
      <c r="O283" s="21">
        <v>44415.628849618057</v>
      </c>
      <c r="P283" s="21"/>
      <c r="Q283">
        <v>0</v>
      </c>
      <c r="T283">
        <v>60</v>
      </c>
    </row>
    <row r="284" spans="1:20" x14ac:dyDescent="0.25">
      <c r="A284">
        <v>283</v>
      </c>
      <c r="B284" s="1" t="s">
        <v>1625</v>
      </c>
      <c r="C284" s="1" t="s">
        <v>1626</v>
      </c>
      <c r="D284" s="1" t="s">
        <v>1627</v>
      </c>
      <c r="E284" s="1" t="s">
        <v>1628</v>
      </c>
      <c r="F284" s="1"/>
      <c r="G284" s="1" t="s">
        <v>634</v>
      </c>
      <c r="H284" s="1" t="s">
        <v>1624</v>
      </c>
      <c r="I284" s="1" t="s">
        <v>568</v>
      </c>
      <c r="J284" s="1" t="s">
        <v>636</v>
      </c>
      <c r="K284">
        <v>0</v>
      </c>
      <c r="L284">
        <v>1</v>
      </c>
      <c r="M284">
        <v>705</v>
      </c>
      <c r="N284" s="21">
        <v>44415.628849618057</v>
      </c>
      <c r="O284" s="21">
        <v>44415.628849618057</v>
      </c>
      <c r="P284" s="21"/>
      <c r="Q284">
        <v>0</v>
      </c>
      <c r="T284">
        <v>60</v>
      </c>
    </row>
    <row r="285" spans="1:20" x14ac:dyDescent="0.25">
      <c r="A285">
        <v>284</v>
      </c>
      <c r="B285" s="1" t="s">
        <v>1629</v>
      </c>
      <c r="C285" s="1" t="s">
        <v>1630</v>
      </c>
      <c r="D285" s="1" t="s">
        <v>1631</v>
      </c>
      <c r="E285" s="1" t="s">
        <v>1632</v>
      </c>
      <c r="F285" s="1"/>
      <c r="G285" s="1" t="s">
        <v>634</v>
      </c>
      <c r="H285" s="1" t="s">
        <v>1633</v>
      </c>
      <c r="I285" s="1" t="s">
        <v>568</v>
      </c>
      <c r="J285" s="1" t="s">
        <v>1634</v>
      </c>
      <c r="K285">
        <v>0</v>
      </c>
      <c r="L285">
        <v>1</v>
      </c>
      <c r="M285">
        <v>5</v>
      </c>
      <c r="N285" s="21">
        <v>44415.628849618057</v>
      </c>
      <c r="O285" s="21">
        <v>44415.628849618057</v>
      </c>
      <c r="P285" s="21"/>
      <c r="Q285">
        <v>0</v>
      </c>
      <c r="T285">
        <v>60</v>
      </c>
    </row>
    <row r="286" spans="1:20" x14ac:dyDescent="0.25">
      <c r="A286">
        <v>285</v>
      </c>
      <c r="B286" s="1" t="s">
        <v>1635</v>
      </c>
      <c r="C286" s="1"/>
      <c r="D286" s="1" t="s">
        <v>1636</v>
      </c>
      <c r="E286" s="1"/>
      <c r="F286" s="1"/>
      <c r="G286" s="1"/>
      <c r="H286" s="1" t="s">
        <v>1637</v>
      </c>
      <c r="I286" s="1"/>
      <c r="J286" s="1"/>
      <c r="K286">
        <v>0</v>
      </c>
      <c r="L286">
        <v>0</v>
      </c>
      <c r="N286" s="21">
        <v>44415.628849618057</v>
      </c>
      <c r="O286" s="21">
        <v>44415.628849618057</v>
      </c>
      <c r="P286" s="21"/>
      <c r="Q286">
        <v>0</v>
      </c>
      <c r="T286">
        <v>60</v>
      </c>
    </row>
    <row r="287" spans="1:20" x14ac:dyDescent="0.25">
      <c r="A287">
        <v>286</v>
      </c>
      <c r="B287" s="1" t="s">
        <v>1638</v>
      </c>
      <c r="C287" s="1"/>
      <c r="D287" s="1" t="s">
        <v>1639</v>
      </c>
      <c r="E287" s="1"/>
      <c r="F287" s="1"/>
      <c r="G287" s="1" t="s">
        <v>644</v>
      </c>
      <c r="H287" s="1" t="s">
        <v>1640</v>
      </c>
      <c r="I287" s="1"/>
      <c r="J287" s="1"/>
      <c r="K287">
        <v>0</v>
      </c>
      <c r="L287">
        <v>0</v>
      </c>
      <c r="N287" s="21">
        <v>44415.628849618057</v>
      </c>
      <c r="O287" s="21">
        <v>44415.628849618057</v>
      </c>
      <c r="P287" s="21"/>
      <c r="Q287">
        <v>0</v>
      </c>
      <c r="T287">
        <v>60</v>
      </c>
    </row>
    <row r="288" spans="1:20" x14ac:dyDescent="0.25">
      <c r="A288">
        <v>287</v>
      </c>
      <c r="B288" s="1" t="s">
        <v>1641</v>
      </c>
      <c r="C288" s="1"/>
      <c r="D288" s="1" t="s">
        <v>1642</v>
      </c>
      <c r="E288" s="1"/>
      <c r="F288" s="1"/>
      <c r="G288" s="1"/>
      <c r="H288" s="1" t="s">
        <v>1643</v>
      </c>
      <c r="I288" s="1"/>
      <c r="J288" s="1"/>
      <c r="K288">
        <v>0</v>
      </c>
      <c r="L288">
        <v>1</v>
      </c>
      <c r="N288" s="21">
        <v>44415.628849618057</v>
      </c>
      <c r="O288" s="21">
        <v>44415.628849618057</v>
      </c>
      <c r="P288" s="21"/>
      <c r="Q288">
        <v>0</v>
      </c>
      <c r="T288">
        <v>60</v>
      </c>
    </row>
    <row r="289" spans="1:20" x14ac:dyDescent="0.25">
      <c r="A289">
        <v>288</v>
      </c>
      <c r="B289" s="1" t="s">
        <v>1644</v>
      </c>
      <c r="C289" s="1" t="s">
        <v>1645</v>
      </c>
      <c r="D289" s="1" t="s">
        <v>1646</v>
      </c>
      <c r="E289" s="1"/>
      <c r="F289" s="1"/>
      <c r="G289" s="1" t="s">
        <v>644</v>
      </c>
      <c r="H289" s="1" t="s">
        <v>1647</v>
      </c>
      <c r="I289" s="1" t="s">
        <v>995</v>
      </c>
      <c r="J289" s="1" t="s">
        <v>641</v>
      </c>
      <c r="K289">
        <v>0</v>
      </c>
      <c r="L289">
        <v>1</v>
      </c>
      <c r="M289">
        <v>134</v>
      </c>
      <c r="N289" s="21">
        <v>44415.628849618057</v>
      </c>
      <c r="O289" s="21">
        <v>44415.628849618057</v>
      </c>
      <c r="P289" s="21"/>
      <c r="Q289">
        <v>0</v>
      </c>
      <c r="T289">
        <v>60</v>
      </c>
    </row>
    <row r="290" spans="1:20" x14ac:dyDescent="0.25">
      <c r="A290">
        <v>289</v>
      </c>
      <c r="B290" s="1" t="s">
        <v>1648</v>
      </c>
      <c r="C290" s="1"/>
      <c r="D290" s="1" t="s">
        <v>1649</v>
      </c>
      <c r="E290" s="1"/>
      <c r="F290" s="1"/>
      <c r="G290" s="1" t="s">
        <v>634</v>
      </c>
      <c r="H290" s="1" t="s">
        <v>1650</v>
      </c>
      <c r="I290" s="1" t="s">
        <v>568</v>
      </c>
      <c r="J290" s="1" t="s">
        <v>867</v>
      </c>
      <c r="K290">
        <v>0</v>
      </c>
      <c r="L290">
        <v>1</v>
      </c>
      <c r="N290" s="21">
        <v>44415.628849618057</v>
      </c>
      <c r="O290" s="21">
        <v>44415.628849618057</v>
      </c>
      <c r="P290" s="21"/>
      <c r="Q290">
        <v>0</v>
      </c>
      <c r="T290">
        <v>60</v>
      </c>
    </row>
    <row r="291" spans="1:20" x14ac:dyDescent="0.25">
      <c r="A291">
        <v>290</v>
      </c>
      <c r="B291" s="1" t="s">
        <v>1651</v>
      </c>
      <c r="C291" s="1"/>
      <c r="D291" s="1" t="s">
        <v>1652</v>
      </c>
      <c r="E291" s="1"/>
      <c r="F291" s="1"/>
      <c r="G291" s="1" t="s">
        <v>634</v>
      </c>
      <c r="H291" s="1" t="s">
        <v>1653</v>
      </c>
      <c r="I291" s="1" t="s">
        <v>1100</v>
      </c>
      <c r="J291" s="1" t="s">
        <v>641</v>
      </c>
      <c r="K291">
        <v>0</v>
      </c>
      <c r="L291">
        <v>0</v>
      </c>
      <c r="N291" s="21">
        <v>44415.628849618057</v>
      </c>
      <c r="O291" s="21">
        <v>44415.628849618057</v>
      </c>
      <c r="P291" s="21"/>
      <c r="Q291">
        <v>0</v>
      </c>
      <c r="T291">
        <v>60</v>
      </c>
    </row>
    <row r="292" spans="1:20" x14ac:dyDescent="0.25">
      <c r="A292">
        <v>291</v>
      </c>
      <c r="B292" s="1" t="s">
        <v>1654</v>
      </c>
      <c r="C292" s="1"/>
      <c r="D292" s="1" t="s">
        <v>1655</v>
      </c>
      <c r="E292" s="1"/>
      <c r="F292" s="1"/>
      <c r="G292" s="1" t="s">
        <v>644</v>
      </c>
      <c r="H292" s="1" t="s">
        <v>1656</v>
      </c>
      <c r="I292" s="1" t="s">
        <v>568</v>
      </c>
      <c r="J292" s="1" t="s">
        <v>641</v>
      </c>
      <c r="K292">
        <v>0</v>
      </c>
      <c r="L292">
        <v>0</v>
      </c>
      <c r="N292" s="21">
        <v>44415.628849618057</v>
      </c>
      <c r="O292" s="21">
        <v>44415.628849618057</v>
      </c>
      <c r="P292" s="21"/>
      <c r="Q292">
        <v>0</v>
      </c>
      <c r="T292">
        <v>60</v>
      </c>
    </row>
    <row r="293" spans="1:20" x14ac:dyDescent="0.25">
      <c r="A293">
        <v>292</v>
      </c>
      <c r="B293" s="1" t="s">
        <v>1657</v>
      </c>
      <c r="C293" s="1"/>
      <c r="D293" s="1" t="s">
        <v>1658</v>
      </c>
      <c r="E293" s="1"/>
      <c r="F293" s="1" t="s">
        <v>1659</v>
      </c>
      <c r="G293" s="1" t="s">
        <v>634</v>
      </c>
      <c r="H293" s="1" t="s">
        <v>1660</v>
      </c>
      <c r="I293" s="1"/>
      <c r="J293" s="1"/>
      <c r="K293">
        <v>0</v>
      </c>
      <c r="L293">
        <v>0</v>
      </c>
      <c r="N293" s="21">
        <v>44415.628849618057</v>
      </c>
      <c r="O293" s="21">
        <v>44415.628849618057</v>
      </c>
      <c r="P293" s="21"/>
      <c r="Q293">
        <v>0</v>
      </c>
      <c r="T293">
        <v>60</v>
      </c>
    </row>
    <row r="294" spans="1:20" x14ac:dyDescent="0.25">
      <c r="A294">
        <v>293</v>
      </c>
      <c r="B294" s="1" t="s">
        <v>1661</v>
      </c>
      <c r="C294" s="1" t="s">
        <v>1662</v>
      </c>
      <c r="D294" s="1" t="s">
        <v>1663</v>
      </c>
      <c r="E294" s="1"/>
      <c r="F294" s="1"/>
      <c r="G294" s="1" t="s">
        <v>634</v>
      </c>
      <c r="H294" s="1" t="s">
        <v>1664</v>
      </c>
      <c r="I294" s="1" t="s">
        <v>568</v>
      </c>
      <c r="J294" s="1" t="s">
        <v>754</v>
      </c>
      <c r="K294">
        <v>0</v>
      </c>
      <c r="L294">
        <v>1</v>
      </c>
      <c r="M294">
        <v>49</v>
      </c>
      <c r="N294" s="21">
        <v>44415.628849618057</v>
      </c>
      <c r="O294" s="21">
        <v>44415.628849618057</v>
      </c>
      <c r="P294" s="21"/>
      <c r="Q294">
        <v>0</v>
      </c>
      <c r="T294">
        <v>60</v>
      </c>
    </row>
    <row r="295" spans="1:20" x14ac:dyDescent="0.25">
      <c r="A295">
        <v>294</v>
      </c>
      <c r="B295" s="1" t="s">
        <v>1665</v>
      </c>
      <c r="C295" s="1"/>
      <c r="D295" s="1" t="s">
        <v>1666</v>
      </c>
      <c r="E295" s="1"/>
      <c r="F295" s="1"/>
      <c r="G295" s="1" t="s">
        <v>644</v>
      </c>
      <c r="H295" s="1" t="s">
        <v>1667</v>
      </c>
      <c r="I295" s="1"/>
      <c r="J295" s="1"/>
      <c r="K295">
        <v>0</v>
      </c>
      <c r="L295">
        <v>0</v>
      </c>
      <c r="N295" s="21">
        <v>44415.628849618057</v>
      </c>
      <c r="O295" s="21">
        <v>44415.628849618057</v>
      </c>
      <c r="P295" s="21"/>
      <c r="Q295">
        <v>0</v>
      </c>
      <c r="T295">
        <v>60</v>
      </c>
    </row>
    <row r="296" spans="1:20" x14ac:dyDescent="0.25">
      <c r="A296">
        <v>295</v>
      </c>
      <c r="B296" s="1" t="s">
        <v>1668</v>
      </c>
      <c r="C296" s="1"/>
      <c r="D296" s="1" t="s">
        <v>1669</v>
      </c>
      <c r="E296" s="1"/>
      <c r="F296" s="1"/>
      <c r="G296" s="1" t="s">
        <v>644</v>
      </c>
      <c r="H296" s="1" t="s">
        <v>1670</v>
      </c>
      <c r="I296" s="1" t="s">
        <v>568</v>
      </c>
      <c r="J296" s="1" t="s">
        <v>636</v>
      </c>
      <c r="K296">
        <v>0</v>
      </c>
      <c r="L296">
        <v>0</v>
      </c>
      <c r="N296" s="21">
        <v>44415.628849618057</v>
      </c>
      <c r="O296" s="21">
        <v>44415.628849618057</v>
      </c>
      <c r="P296" s="21"/>
      <c r="Q296">
        <v>0</v>
      </c>
      <c r="T296">
        <v>60</v>
      </c>
    </row>
    <row r="297" spans="1:20" x14ac:dyDescent="0.25">
      <c r="A297">
        <v>296</v>
      </c>
      <c r="B297" s="1" t="s">
        <v>1671</v>
      </c>
      <c r="C297" s="1"/>
      <c r="D297" s="1" t="s">
        <v>1672</v>
      </c>
      <c r="E297" s="1"/>
      <c r="F297" s="1"/>
      <c r="G297" s="1" t="s">
        <v>644</v>
      </c>
      <c r="H297" s="1" t="s">
        <v>1673</v>
      </c>
      <c r="I297" s="1"/>
      <c r="J297" s="1"/>
      <c r="K297">
        <v>0</v>
      </c>
      <c r="L297">
        <v>0</v>
      </c>
      <c r="N297" s="21">
        <v>44415.628849618057</v>
      </c>
      <c r="O297" s="21">
        <v>44415.628849618057</v>
      </c>
      <c r="P297" s="21"/>
      <c r="Q297">
        <v>0</v>
      </c>
      <c r="T297">
        <v>60</v>
      </c>
    </row>
    <row r="298" spans="1:20" x14ac:dyDescent="0.25">
      <c r="A298">
        <v>297</v>
      </c>
      <c r="B298" s="1" t="s">
        <v>1674</v>
      </c>
      <c r="C298" s="1"/>
      <c r="D298" s="1" t="s">
        <v>1675</v>
      </c>
      <c r="E298" s="1"/>
      <c r="F298" s="1"/>
      <c r="G298" s="1" t="s">
        <v>634</v>
      </c>
      <c r="H298" s="1" t="s">
        <v>1676</v>
      </c>
      <c r="I298" s="1"/>
      <c r="J298" s="1"/>
      <c r="K298">
        <v>0</v>
      </c>
      <c r="L298">
        <v>0</v>
      </c>
      <c r="N298" s="21">
        <v>44415.628849618057</v>
      </c>
      <c r="O298" s="21">
        <v>44415.628849618057</v>
      </c>
      <c r="P298" s="21"/>
      <c r="Q298">
        <v>0</v>
      </c>
      <c r="T298">
        <v>60</v>
      </c>
    </row>
    <row r="299" spans="1:20" x14ac:dyDescent="0.25">
      <c r="A299">
        <v>298</v>
      </c>
      <c r="B299" s="1" t="s">
        <v>1677</v>
      </c>
      <c r="C299" s="1"/>
      <c r="D299" s="1" t="s">
        <v>1678</v>
      </c>
      <c r="E299" s="1"/>
      <c r="F299" s="1"/>
      <c r="G299" s="1" t="s">
        <v>634</v>
      </c>
      <c r="H299" s="1" t="s">
        <v>1679</v>
      </c>
      <c r="I299" s="1" t="s">
        <v>568</v>
      </c>
      <c r="J299" s="1" t="s">
        <v>641</v>
      </c>
      <c r="K299">
        <v>0</v>
      </c>
      <c r="L299">
        <v>0</v>
      </c>
      <c r="N299" s="21">
        <v>44415.628849618057</v>
      </c>
      <c r="O299" s="21">
        <v>44415.628849618057</v>
      </c>
      <c r="P299" s="21"/>
      <c r="Q299">
        <v>0</v>
      </c>
      <c r="T299">
        <v>60</v>
      </c>
    </row>
    <row r="300" spans="1:20" x14ac:dyDescent="0.25">
      <c r="A300">
        <v>299</v>
      </c>
      <c r="B300" s="1" t="s">
        <v>1680</v>
      </c>
      <c r="C300" s="1"/>
      <c r="D300" s="1" t="s">
        <v>1681</v>
      </c>
      <c r="E300" s="1"/>
      <c r="F300" s="1"/>
      <c r="G300" s="1" t="s">
        <v>634</v>
      </c>
      <c r="H300" s="1" t="s">
        <v>1682</v>
      </c>
      <c r="I300" s="1" t="s">
        <v>568</v>
      </c>
      <c r="J300" s="1"/>
      <c r="K300">
        <v>0</v>
      </c>
      <c r="L300">
        <v>0</v>
      </c>
      <c r="N300" s="21">
        <v>44415.628849618057</v>
      </c>
      <c r="O300" s="21">
        <v>44415.628849618057</v>
      </c>
      <c r="P300" s="21"/>
      <c r="Q300">
        <v>0</v>
      </c>
      <c r="T300">
        <v>60</v>
      </c>
    </row>
    <row r="301" spans="1:20" x14ac:dyDescent="0.25">
      <c r="A301">
        <v>300</v>
      </c>
      <c r="B301" s="1" t="s">
        <v>1683</v>
      </c>
      <c r="C301" s="1" t="s">
        <v>1684</v>
      </c>
      <c r="D301" s="1" t="s">
        <v>1685</v>
      </c>
      <c r="E301" s="1"/>
      <c r="F301" s="1"/>
      <c r="G301" s="1" t="s">
        <v>644</v>
      </c>
      <c r="H301" s="1" t="s">
        <v>1686</v>
      </c>
      <c r="I301" s="1" t="s">
        <v>1059</v>
      </c>
      <c r="J301" s="1" t="s">
        <v>1687</v>
      </c>
      <c r="K301">
        <v>0</v>
      </c>
      <c r="L301">
        <v>1</v>
      </c>
      <c r="M301">
        <v>2</v>
      </c>
      <c r="N301" s="21">
        <v>44415.628849618057</v>
      </c>
      <c r="O301" s="21">
        <v>44415.628849618057</v>
      </c>
      <c r="P301" s="21"/>
      <c r="Q301">
        <v>0</v>
      </c>
      <c r="T301">
        <v>60</v>
      </c>
    </row>
    <row r="302" spans="1:20" x14ac:dyDescent="0.25">
      <c r="A302">
        <v>301</v>
      </c>
      <c r="B302" s="1" t="s">
        <v>1688</v>
      </c>
      <c r="C302" s="1"/>
      <c r="D302" s="1" t="s">
        <v>1689</v>
      </c>
      <c r="E302" s="1"/>
      <c r="F302" s="1"/>
      <c r="G302" s="1" t="s">
        <v>644</v>
      </c>
      <c r="H302" s="1" t="s">
        <v>1690</v>
      </c>
      <c r="I302" s="1"/>
      <c r="J302" s="1"/>
      <c r="K302">
        <v>0</v>
      </c>
      <c r="L302">
        <v>0</v>
      </c>
      <c r="N302" s="21">
        <v>44415.628849618057</v>
      </c>
      <c r="O302" s="21">
        <v>44415.628849618057</v>
      </c>
      <c r="P302" s="21"/>
      <c r="Q302">
        <v>0</v>
      </c>
      <c r="T302">
        <v>60</v>
      </c>
    </row>
    <row r="303" spans="1:20" x14ac:dyDescent="0.25">
      <c r="A303">
        <v>302</v>
      </c>
      <c r="B303" s="1" t="s">
        <v>1691</v>
      </c>
      <c r="C303" s="1"/>
      <c r="D303" s="1" t="s">
        <v>1692</v>
      </c>
      <c r="E303" s="1"/>
      <c r="F303" s="1"/>
      <c r="G303" s="1" t="s">
        <v>644</v>
      </c>
      <c r="H303" s="1" t="s">
        <v>1693</v>
      </c>
      <c r="I303" s="1" t="s">
        <v>1125</v>
      </c>
      <c r="J303" s="1" t="s">
        <v>754</v>
      </c>
      <c r="K303">
        <v>0</v>
      </c>
      <c r="L303">
        <v>0</v>
      </c>
      <c r="N303" s="21">
        <v>44415.628849618057</v>
      </c>
      <c r="O303" s="21">
        <v>44415.628849618057</v>
      </c>
      <c r="P303" s="21"/>
      <c r="Q303">
        <v>0</v>
      </c>
      <c r="T303">
        <v>60</v>
      </c>
    </row>
    <row r="304" spans="1:20" x14ac:dyDescent="0.25">
      <c r="A304">
        <v>303</v>
      </c>
      <c r="B304" s="1" t="s">
        <v>1694</v>
      </c>
      <c r="C304" s="1" t="s">
        <v>1695</v>
      </c>
      <c r="D304" s="1" t="s">
        <v>1696</v>
      </c>
      <c r="E304" s="1"/>
      <c r="F304" s="1"/>
      <c r="G304" s="1" t="s">
        <v>644</v>
      </c>
      <c r="H304" s="1" t="s">
        <v>1697</v>
      </c>
      <c r="I304" s="1" t="s">
        <v>1698</v>
      </c>
      <c r="J304" s="1" t="s">
        <v>641</v>
      </c>
      <c r="K304">
        <v>0</v>
      </c>
      <c r="L304">
        <v>1</v>
      </c>
      <c r="M304">
        <v>108</v>
      </c>
      <c r="N304" s="21">
        <v>44415.628849618057</v>
      </c>
      <c r="O304" s="21">
        <v>44415.628849618057</v>
      </c>
      <c r="P304" s="21"/>
      <c r="Q304">
        <v>0</v>
      </c>
      <c r="T304">
        <v>60</v>
      </c>
    </row>
    <row r="305" spans="1:20" x14ac:dyDescent="0.25">
      <c r="A305">
        <v>304</v>
      </c>
      <c r="B305" s="1" t="s">
        <v>1699</v>
      </c>
      <c r="C305" s="1"/>
      <c r="D305" s="1" t="s">
        <v>1700</v>
      </c>
      <c r="E305" s="1"/>
      <c r="F305" s="1"/>
      <c r="G305" s="1" t="s">
        <v>644</v>
      </c>
      <c r="H305" s="1" t="s">
        <v>1701</v>
      </c>
      <c r="I305" s="1" t="s">
        <v>1702</v>
      </c>
      <c r="J305" s="1" t="s">
        <v>641</v>
      </c>
      <c r="K305">
        <v>0</v>
      </c>
      <c r="L305">
        <v>0</v>
      </c>
      <c r="N305" s="21">
        <v>44415.628849618057</v>
      </c>
      <c r="O305" s="21">
        <v>44415.628849618057</v>
      </c>
      <c r="P305" s="21"/>
      <c r="Q305">
        <v>0</v>
      </c>
      <c r="T305">
        <v>60</v>
      </c>
    </row>
    <row r="306" spans="1:20" x14ac:dyDescent="0.25">
      <c r="A306">
        <v>305</v>
      </c>
      <c r="B306" s="1" t="s">
        <v>1703</v>
      </c>
      <c r="C306" s="1"/>
      <c r="D306" s="1" t="s">
        <v>1704</v>
      </c>
      <c r="E306" s="1"/>
      <c r="F306" s="1"/>
      <c r="G306" s="1" t="s">
        <v>644</v>
      </c>
      <c r="H306" s="1" t="s">
        <v>1705</v>
      </c>
      <c r="I306" s="1"/>
      <c r="J306" s="1" t="s">
        <v>641</v>
      </c>
      <c r="K306">
        <v>0</v>
      </c>
      <c r="L306">
        <v>0</v>
      </c>
      <c r="N306" s="21">
        <v>44415.628849618057</v>
      </c>
      <c r="O306" s="21">
        <v>44415.628849618057</v>
      </c>
      <c r="P306" s="21"/>
      <c r="Q306">
        <v>0</v>
      </c>
      <c r="T306">
        <v>60</v>
      </c>
    </row>
    <row r="307" spans="1:20" x14ac:dyDescent="0.25">
      <c r="A307">
        <v>306</v>
      </c>
      <c r="B307" s="1" t="s">
        <v>1706</v>
      </c>
      <c r="C307" s="1"/>
      <c r="D307" s="1" t="s">
        <v>1707</v>
      </c>
      <c r="E307" s="1"/>
      <c r="F307" s="1"/>
      <c r="G307" s="1" t="s">
        <v>634</v>
      </c>
      <c r="H307" s="1" t="s">
        <v>1708</v>
      </c>
      <c r="I307" s="1" t="s">
        <v>568</v>
      </c>
      <c r="J307" s="1"/>
      <c r="K307">
        <v>0</v>
      </c>
      <c r="L307">
        <v>0</v>
      </c>
      <c r="N307" s="21">
        <v>44415.628849618057</v>
      </c>
      <c r="O307" s="21">
        <v>44415.628849618057</v>
      </c>
      <c r="P307" s="21"/>
      <c r="Q307">
        <v>0</v>
      </c>
      <c r="T307">
        <v>60</v>
      </c>
    </row>
    <row r="308" spans="1:20" x14ac:dyDescent="0.25">
      <c r="A308">
        <v>307</v>
      </c>
      <c r="B308" s="1" t="s">
        <v>1709</v>
      </c>
      <c r="C308" s="1" t="s">
        <v>1710</v>
      </c>
      <c r="D308" s="1" t="s">
        <v>1711</v>
      </c>
      <c r="E308" s="1"/>
      <c r="F308" s="1"/>
      <c r="G308" s="1" t="s">
        <v>644</v>
      </c>
      <c r="H308" s="1" t="s">
        <v>1712</v>
      </c>
      <c r="I308" s="1" t="s">
        <v>690</v>
      </c>
      <c r="J308" s="1" t="s">
        <v>641</v>
      </c>
      <c r="K308">
        <v>0</v>
      </c>
      <c r="L308">
        <v>1</v>
      </c>
      <c r="M308">
        <v>5058</v>
      </c>
      <c r="N308" s="21">
        <v>44415.628849618057</v>
      </c>
      <c r="O308" s="21">
        <v>44415.628849618057</v>
      </c>
      <c r="P308" s="21"/>
      <c r="Q308">
        <v>0</v>
      </c>
      <c r="T308">
        <v>60</v>
      </c>
    </row>
    <row r="309" spans="1:20" x14ac:dyDescent="0.25">
      <c r="A309">
        <v>308</v>
      </c>
      <c r="B309" s="1" t="s">
        <v>1713</v>
      </c>
      <c r="C309" s="1"/>
      <c r="D309" s="1" t="s">
        <v>1714</v>
      </c>
      <c r="E309" s="1"/>
      <c r="F309" s="1"/>
      <c r="G309" s="1" t="s">
        <v>634</v>
      </c>
      <c r="H309" s="1" t="s">
        <v>1715</v>
      </c>
      <c r="I309" s="1"/>
      <c r="J309" s="1"/>
      <c r="K309">
        <v>0</v>
      </c>
      <c r="L309">
        <v>0</v>
      </c>
      <c r="N309" s="21">
        <v>44415.628849618057</v>
      </c>
      <c r="O309" s="21">
        <v>44415.628849618057</v>
      </c>
      <c r="P309" s="21"/>
      <c r="Q309">
        <v>0</v>
      </c>
      <c r="T309">
        <v>60</v>
      </c>
    </row>
    <row r="310" spans="1:20" x14ac:dyDescent="0.25">
      <c r="A310">
        <v>309</v>
      </c>
      <c r="B310" s="1" t="s">
        <v>1716</v>
      </c>
      <c r="C310" s="1" t="s">
        <v>1717</v>
      </c>
      <c r="D310" s="1" t="s">
        <v>1718</v>
      </c>
      <c r="E310" s="1"/>
      <c r="F310" s="1"/>
      <c r="G310" s="1" t="s">
        <v>644</v>
      </c>
      <c r="H310" s="1" t="s">
        <v>1719</v>
      </c>
      <c r="I310" s="1" t="s">
        <v>799</v>
      </c>
      <c r="J310" s="1" t="s">
        <v>641</v>
      </c>
      <c r="K310">
        <v>0</v>
      </c>
      <c r="L310">
        <v>1</v>
      </c>
      <c r="M310">
        <v>3870</v>
      </c>
      <c r="N310" s="21">
        <v>44415.628849618057</v>
      </c>
      <c r="O310" s="21">
        <v>44415.628849618057</v>
      </c>
      <c r="P310" s="21"/>
      <c r="Q310">
        <v>0</v>
      </c>
      <c r="T310">
        <v>60</v>
      </c>
    </row>
    <row r="311" spans="1:20" x14ac:dyDescent="0.25">
      <c r="A311">
        <v>310</v>
      </c>
      <c r="B311" s="1" t="s">
        <v>1720</v>
      </c>
      <c r="C311" s="1" t="s">
        <v>1721</v>
      </c>
      <c r="D311" s="1" t="s">
        <v>1722</v>
      </c>
      <c r="E311" s="1"/>
      <c r="F311" s="1"/>
      <c r="G311" s="1" t="s">
        <v>634</v>
      </c>
      <c r="H311" s="1" t="s">
        <v>1723</v>
      </c>
      <c r="I311" s="1" t="s">
        <v>568</v>
      </c>
      <c r="J311" s="1" t="s">
        <v>636</v>
      </c>
      <c r="K311">
        <v>0</v>
      </c>
      <c r="L311">
        <v>1</v>
      </c>
      <c r="M311">
        <v>851</v>
      </c>
      <c r="N311" s="21">
        <v>44415.628849618057</v>
      </c>
      <c r="O311" s="21">
        <v>44415.628849618057</v>
      </c>
      <c r="P311" s="21"/>
      <c r="Q311">
        <v>0</v>
      </c>
      <c r="T311">
        <v>60</v>
      </c>
    </row>
    <row r="312" spans="1:20" x14ac:dyDescent="0.25">
      <c r="A312">
        <v>311</v>
      </c>
      <c r="B312" s="1" t="s">
        <v>1724</v>
      </c>
      <c r="C312" s="1"/>
      <c r="D312" s="1" t="s">
        <v>1725</v>
      </c>
      <c r="E312" s="1"/>
      <c r="F312" s="1" t="s">
        <v>1726</v>
      </c>
      <c r="G312" s="1"/>
      <c r="H312" s="1" t="s">
        <v>1727</v>
      </c>
      <c r="I312" s="1"/>
      <c r="J312" s="1"/>
      <c r="K312">
        <v>0</v>
      </c>
      <c r="L312">
        <v>0</v>
      </c>
      <c r="N312" s="21">
        <v>44415.628849618057</v>
      </c>
      <c r="O312" s="21">
        <v>44415.628849618057</v>
      </c>
      <c r="P312" s="21"/>
      <c r="Q312">
        <v>0</v>
      </c>
      <c r="T312">
        <v>60</v>
      </c>
    </row>
    <row r="313" spans="1:20" x14ac:dyDescent="0.25">
      <c r="A313">
        <v>312</v>
      </c>
      <c r="B313" s="1" t="s">
        <v>1728</v>
      </c>
      <c r="C313" s="1"/>
      <c r="D313" s="1" t="s">
        <v>1729</v>
      </c>
      <c r="E313" s="1"/>
      <c r="F313" s="1"/>
      <c r="G313" s="1" t="s">
        <v>644</v>
      </c>
      <c r="H313" s="1" t="s">
        <v>1730</v>
      </c>
      <c r="I313" s="1"/>
      <c r="J313" s="1" t="s">
        <v>636</v>
      </c>
      <c r="K313">
        <v>0</v>
      </c>
      <c r="L313">
        <v>0</v>
      </c>
      <c r="N313" s="21">
        <v>44415.628849618057</v>
      </c>
      <c r="O313" s="21">
        <v>44415.628849618057</v>
      </c>
      <c r="P313" s="21"/>
      <c r="Q313">
        <v>0</v>
      </c>
      <c r="T313">
        <v>60</v>
      </c>
    </row>
    <row r="314" spans="1:20" x14ac:dyDescent="0.25">
      <c r="A314">
        <v>313</v>
      </c>
      <c r="B314" s="1" t="s">
        <v>1731</v>
      </c>
      <c r="C314" s="1"/>
      <c r="D314" s="1" t="s">
        <v>1732</v>
      </c>
      <c r="E314" s="1"/>
      <c r="F314" s="1"/>
      <c r="G314" s="1" t="s">
        <v>644</v>
      </c>
      <c r="H314" s="1" t="s">
        <v>1733</v>
      </c>
      <c r="I314" s="1"/>
      <c r="J314" s="1"/>
      <c r="K314">
        <v>0</v>
      </c>
      <c r="L314">
        <v>0</v>
      </c>
      <c r="N314" s="21">
        <v>44415.628849618057</v>
      </c>
      <c r="O314" s="21">
        <v>44415.628849618057</v>
      </c>
      <c r="P314" s="21"/>
      <c r="Q314">
        <v>0</v>
      </c>
      <c r="T314">
        <v>60</v>
      </c>
    </row>
    <row r="315" spans="1:20" x14ac:dyDescent="0.25">
      <c r="A315">
        <v>314</v>
      </c>
      <c r="B315" s="1" t="s">
        <v>1734</v>
      </c>
      <c r="C315" s="1"/>
      <c r="D315" s="1" t="s">
        <v>1735</v>
      </c>
      <c r="E315" s="1"/>
      <c r="F315" s="1"/>
      <c r="G315" s="1" t="s">
        <v>644</v>
      </c>
      <c r="H315" s="1" t="s">
        <v>1733</v>
      </c>
      <c r="I315" s="1"/>
      <c r="J315" s="1"/>
      <c r="K315">
        <v>0</v>
      </c>
      <c r="L315">
        <v>0</v>
      </c>
      <c r="N315" s="21">
        <v>44415.628849618057</v>
      </c>
      <c r="O315" s="21">
        <v>44415.628849618057</v>
      </c>
      <c r="P315" s="21"/>
      <c r="Q315">
        <v>0</v>
      </c>
      <c r="T315">
        <v>60</v>
      </c>
    </row>
    <row r="316" spans="1:20" x14ac:dyDescent="0.25">
      <c r="A316">
        <v>315</v>
      </c>
      <c r="B316" s="1" t="s">
        <v>1736</v>
      </c>
      <c r="C316" s="1" t="s">
        <v>1737</v>
      </c>
      <c r="D316" s="1" t="s">
        <v>1738</v>
      </c>
      <c r="E316" s="1"/>
      <c r="F316" s="1"/>
      <c r="G316" s="1" t="s">
        <v>713</v>
      </c>
      <c r="H316" s="1" t="s">
        <v>1739</v>
      </c>
      <c r="I316" s="1" t="s">
        <v>1740</v>
      </c>
      <c r="J316" s="1" t="s">
        <v>641</v>
      </c>
      <c r="K316">
        <v>0</v>
      </c>
      <c r="L316">
        <v>1</v>
      </c>
      <c r="M316">
        <v>839</v>
      </c>
      <c r="N316" s="21">
        <v>44415.628849618057</v>
      </c>
      <c r="O316" s="21">
        <v>44415.628849618057</v>
      </c>
      <c r="P316" s="21"/>
      <c r="Q316">
        <v>0</v>
      </c>
      <c r="T316">
        <v>60</v>
      </c>
    </row>
    <row r="317" spans="1:20" x14ac:dyDescent="0.25">
      <c r="A317">
        <v>316</v>
      </c>
      <c r="B317" s="1" t="s">
        <v>1741</v>
      </c>
      <c r="C317" s="1"/>
      <c r="D317" s="1" t="s">
        <v>1742</v>
      </c>
      <c r="E317" s="1"/>
      <c r="F317" s="1"/>
      <c r="G317" s="1" t="s">
        <v>634</v>
      </c>
      <c r="H317" s="1" t="s">
        <v>1743</v>
      </c>
      <c r="I317" s="1"/>
      <c r="J317" s="1"/>
      <c r="K317">
        <v>0</v>
      </c>
      <c r="L317">
        <v>0</v>
      </c>
      <c r="N317" s="21">
        <v>44415.628849618057</v>
      </c>
      <c r="O317" s="21">
        <v>44415.628849618057</v>
      </c>
      <c r="P317" s="21"/>
      <c r="Q317">
        <v>0</v>
      </c>
      <c r="T317">
        <v>60</v>
      </c>
    </row>
    <row r="318" spans="1:20" x14ac:dyDescent="0.25">
      <c r="A318">
        <v>317</v>
      </c>
      <c r="B318" s="1" t="s">
        <v>1744</v>
      </c>
      <c r="C318" s="1"/>
      <c r="D318" s="1" t="s">
        <v>1745</v>
      </c>
      <c r="E318" s="1"/>
      <c r="F318" s="1"/>
      <c r="G318" s="1"/>
      <c r="H318" s="1" t="s">
        <v>1746</v>
      </c>
      <c r="I318" s="1"/>
      <c r="J318" s="1"/>
      <c r="K318">
        <v>0</v>
      </c>
      <c r="L318">
        <v>0</v>
      </c>
      <c r="N318" s="21">
        <v>44415.628849618057</v>
      </c>
      <c r="O318" s="21">
        <v>44415.628849618057</v>
      </c>
      <c r="P318" s="21"/>
      <c r="Q318">
        <v>0</v>
      </c>
      <c r="T318">
        <v>60</v>
      </c>
    </row>
    <row r="319" spans="1:20" x14ac:dyDescent="0.25">
      <c r="A319">
        <v>318</v>
      </c>
      <c r="B319" s="1" t="s">
        <v>1744</v>
      </c>
      <c r="C319" s="1"/>
      <c r="D319" s="1" t="s">
        <v>1747</v>
      </c>
      <c r="E319" s="1"/>
      <c r="F319" s="1" t="s">
        <v>1748</v>
      </c>
      <c r="G319" s="1"/>
      <c r="H319" s="1" t="s">
        <v>1749</v>
      </c>
      <c r="I319" s="1"/>
      <c r="J319" s="1"/>
      <c r="K319">
        <v>0</v>
      </c>
      <c r="L319">
        <v>0</v>
      </c>
      <c r="N319" s="21">
        <v>44415.628849618057</v>
      </c>
      <c r="O319" s="21">
        <v>44415.628849618057</v>
      </c>
      <c r="P319" s="21"/>
      <c r="Q319">
        <v>0</v>
      </c>
      <c r="T319">
        <v>60</v>
      </c>
    </row>
    <row r="320" spans="1:20" x14ac:dyDescent="0.25">
      <c r="A320">
        <v>319</v>
      </c>
      <c r="B320" s="1" t="s">
        <v>1744</v>
      </c>
      <c r="C320" s="1"/>
      <c r="D320" s="1" t="s">
        <v>1750</v>
      </c>
      <c r="E320" s="1"/>
      <c r="F320" s="1"/>
      <c r="G320" s="1" t="s">
        <v>634</v>
      </c>
      <c r="H320" s="1" t="s">
        <v>1746</v>
      </c>
      <c r="I320" s="1" t="s">
        <v>568</v>
      </c>
      <c r="J320" s="1" t="s">
        <v>1751</v>
      </c>
      <c r="K320">
        <v>0</v>
      </c>
      <c r="L320">
        <v>0</v>
      </c>
      <c r="N320" s="21">
        <v>44415.628849618057</v>
      </c>
      <c r="O320" s="21">
        <v>44415.628849618057</v>
      </c>
      <c r="P320" s="21"/>
      <c r="Q320">
        <v>0</v>
      </c>
      <c r="T320">
        <v>60</v>
      </c>
    </row>
    <row r="321" spans="1:20" x14ac:dyDescent="0.25">
      <c r="A321">
        <v>320</v>
      </c>
      <c r="B321" s="1" t="s">
        <v>1752</v>
      </c>
      <c r="C321" s="1"/>
      <c r="D321" s="1" t="s">
        <v>1753</v>
      </c>
      <c r="E321" s="1"/>
      <c r="F321" s="1"/>
      <c r="G321" s="1" t="s">
        <v>644</v>
      </c>
      <c r="H321" s="1" t="s">
        <v>1754</v>
      </c>
      <c r="I321" s="1" t="s">
        <v>782</v>
      </c>
      <c r="J321" s="1" t="s">
        <v>641</v>
      </c>
      <c r="K321">
        <v>0</v>
      </c>
      <c r="L321">
        <v>0</v>
      </c>
      <c r="N321" s="21">
        <v>44415.628849618057</v>
      </c>
      <c r="O321" s="21">
        <v>44415.628849618057</v>
      </c>
      <c r="P321" s="21"/>
      <c r="Q321">
        <v>0</v>
      </c>
      <c r="T321">
        <v>60</v>
      </c>
    </row>
    <row r="322" spans="1:20" x14ac:dyDescent="0.25">
      <c r="A322">
        <v>321</v>
      </c>
      <c r="B322" s="1" t="s">
        <v>1755</v>
      </c>
      <c r="C322" s="1"/>
      <c r="D322" s="1" t="s">
        <v>1756</v>
      </c>
      <c r="E322" s="1"/>
      <c r="F322" s="1"/>
      <c r="G322" s="1" t="s">
        <v>634</v>
      </c>
      <c r="H322" s="1" t="s">
        <v>1757</v>
      </c>
      <c r="I322" s="1" t="s">
        <v>568</v>
      </c>
      <c r="J322" s="1" t="s">
        <v>641</v>
      </c>
      <c r="K322">
        <v>0</v>
      </c>
      <c r="L322">
        <v>1</v>
      </c>
      <c r="N322" s="21">
        <v>44415.628849618057</v>
      </c>
      <c r="O322" s="21">
        <v>44415.628849618057</v>
      </c>
      <c r="P322" s="21"/>
      <c r="Q322">
        <v>0</v>
      </c>
      <c r="T322">
        <v>60</v>
      </c>
    </row>
    <row r="323" spans="1:20" x14ac:dyDescent="0.25">
      <c r="A323">
        <v>322</v>
      </c>
      <c r="B323" s="1" t="s">
        <v>1758</v>
      </c>
      <c r="C323" s="1"/>
      <c r="D323" s="1" t="s">
        <v>1759</v>
      </c>
      <c r="E323" s="1"/>
      <c r="F323" s="1"/>
      <c r="G323" s="1" t="s">
        <v>634</v>
      </c>
      <c r="H323" s="1" t="s">
        <v>1760</v>
      </c>
      <c r="I323" s="1"/>
      <c r="J323" s="1"/>
      <c r="K323">
        <v>0</v>
      </c>
      <c r="L323">
        <v>0</v>
      </c>
      <c r="N323" s="21">
        <v>44415.628849618057</v>
      </c>
      <c r="O323" s="21">
        <v>44415.628849618057</v>
      </c>
      <c r="P323" s="21"/>
      <c r="Q323">
        <v>0</v>
      </c>
      <c r="T323">
        <v>60</v>
      </c>
    </row>
    <row r="324" spans="1:20" x14ac:dyDescent="0.25">
      <c r="A324">
        <v>323</v>
      </c>
      <c r="B324" s="1" t="s">
        <v>1761</v>
      </c>
      <c r="C324" s="1"/>
      <c r="D324" s="1" t="s">
        <v>1762</v>
      </c>
      <c r="E324" s="1"/>
      <c r="F324" s="1"/>
      <c r="G324" s="1" t="s">
        <v>634</v>
      </c>
      <c r="H324" s="1" t="s">
        <v>1763</v>
      </c>
      <c r="I324" s="1" t="s">
        <v>568</v>
      </c>
      <c r="J324" s="1" t="s">
        <v>636</v>
      </c>
      <c r="K324">
        <v>0</v>
      </c>
      <c r="L324">
        <v>1</v>
      </c>
      <c r="N324" s="21">
        <v>44415.628849618057</v>
      </c>
      <c r="O324" s="21">
        <v>44415.628849618057</v>
      </c>
      <c r="P324" s="21"/>
      <c r="Q324">
        <v>0</v>
      </c>
      <c r="T324">
        <v>60</v>
      </c>
    </row>
    <row r="325" spans="1:20" x14ac:dyDescent="0.25">
      <c r="A325">
        <v>324</v>
      </c>
      <c r="B325" s="1" t="s">
        <v>1764</v>
      </c>
      <c r="C325" s="1"/>
      <c r="D325" s="1" t="s">
        <v>1765</v>
      </c>
      <c r="E325" s="1"/>
      <c r="F325" s="1"/>
      <c r="G325" s="1" t="s">
        <v>634</v>
      </c>
      <c r="H325" s="1" t="s">
        <v>1766</v>
      </c>
      <c r="I325" s="1"/>
      <c r="J325" s="1" t="s">
        <v>1687</v>
      </c>
      <c r="K325">
        <v>0</v>
      </c>
      <c r="L325">
        <v>0</v>
      </c>
      <c r="N325" s="21">
        <v>44415.628849618057</v>
      </c>
      <c r="O325" s="21">
        <v>44415.628849618057</v>
      </c>
      <c r="P325" s="21"/>
      <c r="Q325">
        <v>0</v>
      </c>
      <c r="T325">
        <v>60</v>
      </c>
    </row>
    <row r="326" spans="1:20" x14ac:dyDescent="0.25">
      <c r="A326">
        <v>325</v>
      </c>
      <c r="B326" s="1" t="s">
        <v>1767</v>
      </c>
      <c r="C326" s="1" t="s">
        <v>1768</v>
      </c>
      <c r="D326" s="1" t="s">
        <v>1769</v>
      </c>
      <c r="E326" s="1"/>
      <c r="F326" s="1"/>
      <c r="G326" s="1" t="s">
        <v>644</v>
      </c>
      <c r="H326" s="1" t="s">
        <v>1770</v>
      </c>
      <c r="I326" s="1" t="s">
        <v>995</v>
      </c>
      <c r="J326" s="1" t="s">
        <v>641</v>
      </c>
      <c r="K326">
        <v>0</v>
      </c>
      <c r="L326">
        <v>1</v>
      </c>
      <c r="M326">
        <v>4604</v>
      </c>
      <c r="N326" s="21">
        <v>44415.628849618057</v>
      </c>
      <c r="O326" s="21">
        <v>44415.628849618057</v>
      </c>
      <c r="P326" s="21"/>
      <c r="Q326">
        <v>0</v>
      </c>
      <c r="T326">
        <v>60</v>
      </c>
    </row>
    <row r="327" spans="1:20" x14ac:dyDescent="0.25">
      <c r="A327">
        <v>326</v>
      </c>
      <c r="B327" s="1" t="s">
        <v>1771</v>
      </c>
      <c r="C327" s="1" t="s">
        <v>1772</v>
      </c>
      <c r="D327" s="1" t="s">
        <v>1773</v>
      </c>
      <c r="E327" s="1"/>
      <c r="F327" s="1"/>
      <c r="G327" s="1" t="s">
        <v>644</v>
      </c>
      <c r="H327" s="1" t="s">
        <v>1774</v>
      </c>
      <c r="I327" s="1" t="s">
        <v>995</v>
      </c>
      <c r="J327" s="1" t="s">
        <v>641</v>
      </c>
      <c r="K327">
        <v>0</v>
      </c>
      <c r="L327">
        <v>1</v>
      </c>
      <c r="M327">
        <v>5617</v>
      </c>
      <c r="N327" s="21">
        <v>44415.628849618057</v>
      </c>
      <c r="O327" s="21">
        <v>44415.628849618057</v>
      </c>
      <c r="P327" s="21"/>
      <c r="Q327">
        <v>0</v>
      </c>
      <c r="T327">
        <v>60</v>
      </c>
    </row>
    <row r="328" spans="1:20" x14ac:dyDescent="0.25">
      <c r="A328">
        <v>327</v>
      </c>
      <c r="B328" s="1" t="s">
        <v>1775</v>
      </c>
      <c r="C328" s="1" t="s">
        <v>1776</v>
      </c>
      <c r="D328" s="1" t="s">
        <v>1777</v>
      </c>
      <c r="E328" s="1"/>
      <c r="F328" s="1"/>
      <c r="G328" s="1" t="s">
        <v>644</v>
      </c>
      <c r="H328" s="1" t="s">
        <v>1778</v>
      </c>
      <c r="I328" s="1" t="s">
        <v>568</v>
      </c>
      <c r="J328" s="1" t="s">
        <v>641</v>
      </c>
      <c r="K328">
        <v>0</v>
      </c>
      <c r="L328">
        <v>1</v>
      </c>
      <c r="M328">
        <v>4802</v>
      </c>
      <c r="N328" s="21">
        <v>44415.628849618057</v>
      </c>
      <c r="O328" s="21">
        <v>44415.628849618057</v>
      </c>
      <c r="P328" s="21"/>
      <c r="Q328">
        <v>0</v>
      </c>
      <c r="T328">
        <v>60</v>
      </c>
    </row>
    <row r="329" spans="1:20" x14ac:dyDescent="0.25">
      <c r="A329">
        <v>328</v>
      </c>
      <c r="B329" s="1" t="s">
        <v>1779</v>
      </c>
      <c r="C329" s="1" t="s">
        <v>1780</v>
      </c>
      <c r="D329" s="1" t="s">
        <v>1781</v>
      </c>
      <c r="E329" s="1"/>
      <c r="F329" s="1"/>
      <c r="G329" s="1" t="s">
        <v>634</v>
      </c>
      <c r="H329" s="1" t="s">
        <v>1782</v>
      </c>
      <c r="I329" s="1"/>
      <c r="J329" s="1"/>
      <c r="K329">
        <v>0</v>
      </c>
      <c r="L329">
        <v>1</v>
      </c>
      <c r="M329">
        <v>86</v>
      </c>
      <c r="N329" s="21">
        <v>44415.628849618057</v>
      </c>
      <c r="O329" s="21">
        <v>44415.628849618057</v>
      </c>
      <c r="P329" s="21"/>
      <c r="Q329">
        <v>0</v>
      </c>
      <c r="T329">
        <v>60</v>
      </c>
    </row>
    <row r="330" spans="1:20" x14ac:dyDescent="0.25">
      <c r="A330">
        <v>329</v>
      </c>
      <c r="B330" s="1" t="s">
        <v>1783</v>
      </c>
      <c r="C330" s="1"/>
      <c r="D330" s="1" t="s">
        <v>1784</v>
      </c>
      <c r="E330" s="1"/>
      <c r="F330" s="1"/>
      <c r="G330" s="1" t="s">
        <v>634</v>
      </c>
      <c r="H330" s="1" t="s">
        <v>1785</v>
      </c>
      <c r="I330" s="1" t="s">
        <v>1786</v>
      </c>
      <c r="J330" s="1" t="s">
        <v>641</v>
      </c>
      <c r="K330">
        <v>0</v>
      </c>
      <c r="L330">
        <v>0</v>
      </c>
      <c r="N330" s="21">
        <v>44415.628849618057</v>
      </c>
      <c r="O330" s="21">
        <v>44415.628849618057</v>
      </c>
      <c r="P330" s="21"/>
      <c r="Q330">
        <v>0</v>
      </c>
      <c r="T330">
        <v>60</v>
      </c>
    </row>
    <row r="331" spans="1:20" x14ac:dyDescent="0.25">
      <c r="A331">
        <v>330</v>
      </c>
      <c r="B331" s="1" t="s">
        <v>1787</v>
      </c>
      <c r="C331" s="1"/>
      <c r="D331" s="1" t="s">
        <v>1788</v>
      </c>
      <c r="E331" s="1"/>
      <c r="F331" s="1"/>
      <c r="G331" s="1" t="s">
        <v>634</v>
      </c>
      <c r="H331" s="1" t="s">
        <v>1789</v>
      </c>
      <c r="I331" s="1"/>
      <c r="J331" s="1"/>
      <c r="K331">
        <v>0</v>
      </c>
      <c r="L331">
        <v>0</v>
      </c>
      <c r="N331" s="21">
        <v>44415.628849618057</v>
      </c>
      <c r="O331" s="21">
        <v>44415.628849618057</v>
      </c>
      <c r="P331" s="21"/>
      <c r="Q331">
        <v>0</v>
      </c>
      <c r="T331">
        <v>60</v>
      </c>
    </row>
    <row r="332" spans="1:20" x14ac:dyDescent="0.25">
      <c r="A332">
        <v>331</v>
      </c>
      <c r="B332" s="1" t="s">
        <v>1790</v>
      </c>
      <c r="C332" s="1"/>
      <c r="D332" s="1" t="s">
        <v>1791</v>
      </c>
      <c r="E332" s="1"/>
      <c r="F332" s="1"/>
      <c r="G332" s="1"/>
      <c r="H332" s="1" t="s">
        <v>1792</v>
      </c>
      <c r="I332" s="1"/>
      <c r="J332" s="1"/>
      <c r="K332">
        <v>0</v>
      </c>
      <c r="L332">
        <v>0</v>
      </c>
      <c r="N332" s="21">
        <v>44415.628849618057</v>
      </c>
      <c r="O332" s="21">
        <v>44415.628849618057</v>
      </c>
      <c r="P332" s="21"/>
      <c r="Q332">
        <v>0</v>
      </c>
      <c r="T332">
        <v>60</v>
      </c>
    </row>
    <row r="333" spans="1:20" x14ac:dyDescent="0.25">
      <c r="A333">
        <v>332</v>
      </c>
      <c r="B333" s="1" t="s">
        <v>1793</v>
      </c>
      <c r="C333" s="1" t="s">
        <v>1794</v>
      </c>
      <c r="D333" s="1" t="s">
        <v>1795</v>
      </c>
      <c r="E333" s="1"/>
      <c r="F333" s="1"/>
      <c r="G333" s="1"/>
      <c r="H333" s="1" t="s">
        <v>1796</v>
      </c>
      <c r="I333" s="1"/>
      <c r="J333" s="1" t="s">
        <v>641</v>
      </c>
      <c r="K333">
        <v>1</v>
      </c>
      <c r="L333">
        <v>0</v>
      </c>
      <c r="N333" s="21">
        <v>44415.628849618057</v>
      </c>
      <c r="O333" s="21">
        <v>44415.628849618057</v>
      </c>
      <c r="P333" s="21"/>
      <c r="Q333">
        <v>0</v>
      </c>
      <c r="T333">
        <v>60</v>
      </c>
    </row>
    <row r="334" spans="1:20" x14ac:dyDescent="0.25">
      <c r="A334">
        <v>333</v>
      </c>
      <c r="B334" s="1" t="s">
        <v>1797</v>
      </c>
      <c r="C334" s="1"/>
      <c r="D334" s="1" t="s">
        <v>1798</v>
      </c>
      <c r="E334" s="1"/>
      <c r="F334" s="1"/>
      <c r="G334" s="1" t="s">
        <v>644</v>
      </c>
      <c r="H334" s="1" t="s">
        <v>1799</v>
      </c>
      <c r="I334" s="1" t="s">
        <v>1450</v>
      </c>
      <c r="J334" s="1" t="s">
        <v>641</v>
      </c>
      <c r="K334">
        <v>0</v>
      </c>
      <c r="L334">
        <v>0</v>
      </c>
      <c r="N334" s="21">
        <v>44415.628849618057</v>
      </c>
      <c r="O334" s="21">
        <v>44415.628849618057</v>
      </c>
      <c r="P334" s="21"/>
      <c r="Q334">
        <v>0</v>
      </c>
      <c r="T334">
        <v>60</v>
      </c>
    </row>
    <row r="335" spans="1:20" x14ac:dyDescent="0.25">
      <c r="A335">
        <v>334</v>
      </c>
      <c r="B335" s="1" t="s">
        <v>1800</v>
      </c>
      <c r="C335" s="1"/>
      <c r="D335" s="1" t="s">
        <v>1801</v>
      </c>
      <c r="E335" s="1"/>
      <c r="F335" s="1"/>
      <c r="G335" s="1" t="s">
        <v>713</v>
      </c>
      <c r="H335" s="1" t="s">
        <v>1802</v>
      </c>
      <c r="I335" s="1"/>
      <c r="J335" s="1"/>
      <c r="K335">
        <v>0</v>
      </c>
      <c r="L335">
        <v>0</v>
      </c>
      <c r="N335" s="21">
        <v>44415.628849618057</v>
      </c>
      <c r="O335" s="21">
        <v>44415.628849618057</v>
      </c>
      <c r="P335" s="21"/>
      <c r="Q335">
        <v>0</v>
      </c>
      <c r="T335">
        <v>60</v>
      </c>
    </row>
    <row r="336" spans="1:20" x14ac:dyDescent="0.25">
      <c r="A336">
        <v>335</v>
      </c>
      <c r="B336" s="1" t="s">
        <v>1803</v>
      </c>
      <c r="C336" s="1"/>
      <c r="D336" s="1" t="s">
        <v>1804</v>
      </c>
      <c r="E336" s="1"/>
      <c r="F336" s="1" t="s">
        <v>1805</v>
      </c>
      <c r="G336" s="1" t="s">
        <v>634</v>
      </c>
      <c r="H336" s="1" t="s">
        <v>1806</v>
      </c>
      <c r="I336" s="1" t="s">
        <v>995</v>
      </c>
      <c r="J336" s="1" t="s">
        <v>1807</v>
      </c>
      <c r="K336">
        <v>0</v>
      </c>
      <c r="L336">
        <v>0</v>
      </c>
      <c r="N336" s="21">
        <v>44415.628849618057</v>
      </c>
      <c r="O336" s="21">
        <v>44415.628849618057</v>
      </c>
      <c r="P336" s="21"/>
      <c r="Q336">
        <v>0</v>
      </c>
      <c r="T336">
        <v>60</v>
      </c>
    </row>
    <row r="337" spans="1:20" x14ac:dyDescent="0.25">
      <c r="A337">
        <v>336</v>
      </c>
      <c r="B337" s="1" t="s">
        <v>1808</v>
      </c>
      <c r="C337" s="1" t="s">
        <v>1809</v>
      </c>
      <c r="D337" s="1" t="s">
        <v>1810</v>
      </c>
      <c r="E337" s="1" t="s">
        <v>1808</v>
      </c>
      <c r="F337" s="1"/>
      <c r="G337" s="1" t="s">
        <v>713</v>
      </c>
      <c r="H337" s="1" t="s">
        <v>1811</v>
      </c>
      <c r="I337" s="1"/>
      <c r="J337" s="1" t="s">
        <v>636</v>
      </c>
      <c r="K337">
        <v>1</v>
      </c>
      <c r="L337">
        <v>0</v>
      </c>
      <c r="N337" s="21">
        <v>44415.628849618057</v>
      </c>
      <c r="O337" s="21">
        <v>44415.628849618057</v>
      </c>
      <c r="P337" s="21"/>
      <c r="Q337">
        <v>0</v>
      </c>
      <c r="T337">
        <v>60</v>
      </c>
    </row>
    <row r="338" spans="1:20" x14ac:dyDescent="0.25">
      <c r="A338">
        <v>337</v>
      </c>
      <c r="B338" s="1" t="s">
        <v>1812</v>
      </c>
      <c r="C338" s="1"/>
      <c r="D338" s="1" t="s">
        <v>1813</v>
      </c>
      <c r="E338" s="1"/>
      <c r="F338" s="1"/>
      <c r="G338" s="1"/>
      <c r="H338" s="1" t="s">
        <v>1814</v>
      </c>
      <c r="I338" s="1"/>
      <c r="J338" s="1"/>
      <c r="K338">
        <v>0</v>
      </c>
      <c r="L338">
        <v>0</v>
      </c>
      <c r="N338" s="21">
        <v>44415.628849618057</v>
      </c>
      <c r="O338" s="21">
        <v>44415.628849618057</v>
      </c>
      <c r="P338" s="21"/>
      <c r="Q338">
        <v>0</v>
      </c>
      <c r="T338">
        <v>60</v>
      </c>
    </row>
    <row r="339" spans="1:20" x14ac:dyDescent="0.25">
      <c r="A339">
        <v>338</v>
      </c>
      <c r="B339" s="1" t="s">
        <v>1815</v>
      </c>
      <c r="C339" s="1"/>
      <c r="D339" s="1" t="s">
        <v>1816</v>
      </c>
      <c r="E339" s="1"/>
      <c r="F339" s="1"/>
      <c r="G339" s="1" t="s">
        <v>713</v>
      </c>
      <c r="H339" s="1" t="s">
        <v>1817</v>
      </c>
      <c r="I339" s="1"/>
      <c r="J339" s="1"/>
      <c r="K339">
        <v>0</v>
      </c>
      <c r="L339">
        <v>0</v>
      </c>
      <c r="N339" s="21">
        <v>44415.628849618057</v>
      </c>
      <c r="O339" s="21">
        <v>44415.628849618057</v>
      </c>
      <c r="P339" s="21"/>
      <c r="Q339">
        <v>0</v>
      </c>
      <c r="T339">
        <v>60</v>
      </c>
    </row>
    <row r="340" spans="1:20" x14ac:dyDescent="0.25">
      <c r="A340">
        <v>339</v>
      </c>
      <c r="B340" s="1" t="s">
        <v>1818</v>
      </c>
      <c r="C340" s="1"/>
      <c r="D340" s="1" t="s">
        <v>1819</v>
      </c>
      <c r="E340" s="1"/>
      <c r="F340" s="1"/>
      <c r="G340" s="1"/>
      <c r="H340" s="1" t="s">
        <v>1820</v>
      </c>
      <c r="I340" s="1"/>
      <c r="J340" s="1"/>
      <c r="K340">
        <v>0</v>
      </c>
      <c r="L340">
        <v>0</v>
      </c>
      <c r="N340" s="21">
        <v>44415.628849618057</v>
      </c>
      <c r="O340" s="21">
        <v>44415.628849618057</v>
      </c>
      <c r="P340" s="21"/>
      <c r="Q340">
        <v>0</v>
      </c>
      <c r="T340">
        <v>60</v>
      </c>
    </row>
    <row r="341" spans="1:20" x14ac:dyDescent="0.25">
      <c r="A341">
        <v>340</v>
      </c>
      <c r="B341" s="1" t="s">
        <v>1821</v>
      </c>
      <c r="C341" s="1"/>
      <c r="D341" s="1" t="s">
        <v>1822</v>
      </c>
      <c r="E341" s="1"/>
      <c r="F341" s="1"/>
      <c r="G341" s="1"/>
      <c r="H341" s="1" t="s">
        <v>1823</v>
      </c>
      <c r="I341" s="1"/>
      <c r="J341" s="1"/>
      <c r="K341">
        <v>0</v>
      </c>
      <c r="L341">
        <v>0</v>
      </c>
      <c r="N341" s="21">
        <v>44415.628849618057</v>
      </c>
      <c r="O341" s="21">
        <v>44415.628849618057</v>
      </c>
      <c r="P341" s="21"/>
      <c r="Q341">
        <v>0</v>
      </c>
      <c r="T341">
        <v>60</v>
      </c>
    </row>
    <row r="342" spans="1:20" x14ac:dyDescent="0.25">
      <c r="A342">
        <v>341</v>
      </c>
      <c r="B342" s="1" t="s">
        <v>1824</v>
      </c>
      <c r="C342" s="1"/>
      <c r="D342" s="1" t="s">
        <v>1825</v>
      </c>
      <c r="E342" s="1"/>
      <c r="F342" s="1"/>
      <c r="G342" s="1"/>
      <c r="H342" s="1" t="s">
        <v>1826</v>
      </c>
      <c r="I342" s="1"/>
      <c r="J342" s="1"/>
      <c r="K342">
        <v>0</v>
      </c>
      <c r="L342">
        <v>0</v>
      </c>
      <c r="N342" s="21">
        <v>44415.628849618057</v>
      </c>
      <c r="O342" s="21">
        <v>44415.628849618057</v>
      </c>
      <c r="P342" s="21"/>
      <c r="Q342">
        <v>0</v>
      </c>
      <c r="T342">
        <v>60</v>
      </c>
    </row>
    <row r="343" spans="1:20" x14ac:dyDescent="0.25">
      <c r="A343">
        <v>342</v>
      </c>
      <c r="B343" s="1" t="s">
        <v>1827</v>
      </c>
      <c r="C343" s="1" t="s">
        <v>1828</v>
      </c>
      <c r="D343" s="1" t="s">
        <v>1829</v>
      </c>
      <c r="E343" s="1" t="s">
        <v>1827</v>
      </c>
      <c r="F343" s="1"/>
      <c r="G343" s="1" t="s">
        <v>713</v>
      </c>
      <c r="H343" s="1" t="s">
        <v>1830</v>
      </c>
      <c r="I343" s="1"/>
      <c r="J343" s="1" t="s">
        <v>641</v>
      </c>
      <c r="K343">
        <v>1</v>
      </c>
      <c r="L343">
        <v>0</v>
      </c>
      <c r="N343" s="21">
        <v>44415.628849618057</v>
      </c>
      <c r="O343" s="21">
        <v>44415.628849618057</v>
      </c>
      <c r="P343" s="21"/>
      <c r="Q343">
        <v>0</v>
      </c>
      <c r="T343">
        <v>60</v>
      </c>
    </row>
    <row r="344" spans="1:20" x14ac:dyDescent="0.25">
      <c r="A344">
        <v>343</v>
      </c>
      <c r="B344" s="1" t="s">
        <v>1831</v>
      </c>
      <c r="C344" s="1"/>
      <c r="D344" s="1" t="s">
        <v>1832</v>
      </c>
      <c r="E344" s="1"/>
      <c r="F344" s="1"/>
      <c r="G344" s="1"/>
      <c r="H344" s="1" t="s">
        <v>1833</v>
      </c>
      <c r="I344" s="1"/>
      <c r="J344" s="1"/>
      <c r="K344">
        <v>0</v>
      </c>
      <c r="L344">
        <v>0</v>
      </c>
      <c r="N344" s="21">
        <v>44415.628849618057</v>
      </c>
      <c r="O344" s="21">
        <v>44415.628849618057</v>
      </c>
      <c r="P344" s="21"/>
      <c r="Q344">
        <v>0</v>
      </c>
      <c r="T344">
        <v>60</v>
      </c>
    </row>
    <row r="345" spans="1:20" x14ac:dyDescent="0.25">
      <c r="A345">
        <v>344</v>
      </c>
      <c r="B345" s="1" t="s">
        <v>1834</v>
      </c>
      <c r="C345" s="1" t="s">
        <v>1835</v>
      </c>
      <c r="D345" s="1" t="s">
        <v>1836</v>
      </c>
      <c r="E345" s="1"/>
      <c r="F345" s="1"/>
      <c r="G345" s="1" t="s">
        <v>713</v>
      </c>
      <c r="H345" s="1" t="s">
        <v>1837</v>
      </c>
      <c r="I345" s="1"/>
      <c r="J345" s="1" t="s">
        <v>641</v>
      </c>
      <c r="K345">
        <v>1</v>
      </c>
      <c r="L345">
        <v>0</v>
      </c>
      <c r="N345" s="21">
        <v>44415.628849618057</v>
      </c>
      <c r="O345" s="21">
        <v>44415.628849618057</v>
      </c>
      <c r="P345" s="21"/>
      <c r="Q345">
        <v>0</v>
      </c>
      <c r="T345">
        <v>60</v>
      </c>
    </row>
    <row r="346" spans="1:20" x14ac:dyDescent="0.25">
      <c r="A346">
        <v>345</v>
      </c>
      <c r="B346" s="1" t="s">
        <v>1838</v>
      </c>
      <c r="C346" s="1"/>
      <c r="D346" s="1" t="s">
        <v>1839</v>
      </c>
      <c r="E346" s="1"/>
      <c r="F346" s="1"/>
      <c r="G346" s="1"/>
      <c r="H346" s="1" t="s">
        <v>1840</v>
      </c>
      <c r="I346" s="1"/>
      <c r="J346" s="1"/>
      <c r="K346">
        <v>0</v>
      </c>
      <c r="L346">
        <v>0</v>
      </c>
      <c r="N346" s="21">
        <v>44415.628849618057</v>
      </c>
      <c r="O346" s="21">
        <v>44415.628849618057</v>
      </c>
      <c r="P346" s="21"/>
      <c r="Q346">
        <v>0</v>
      </c>
      <c r="T346">
        <v>60</v>
      </c>
    </row>
    <row r="347" spans="1:20" x14ac:dyDescent="0.25">
      <c r="A347">
        <v>346</v>
      </c>
      <c r="B347" s="1" t="s">
        <v>1841</v>
      </c>
      <c r="C347" s="1" t="s">
        <v>1842</v>
      </c>
      <c r="D347" s="1" t="s">
        <v>1843</v>
      </c>
      <c r="E347" s="1"/>
      <c r="F347" s="1"/>
      <c r="G347" s="1" t="s">
        <v>713</v>
      </c>
      <c r="H347" s="1" t="s">
        <v>1844</v>
      </c>
      <c r="I347" s="1"/>
      <c r="J347" s="1" t="s">
        <v>754</v>
      </c>
      <c r="K347">
        <v>1</v>
      </c>
      <c r="L347">
        <v>1</v>
      </c>
      <c r="N347" s="21">
        <v>44415.628849618057</v>
      </c>
      <c r="O347" s="21">
        <v>44415.628849618057</v>
      </c>
      <c r="P347" s="21"/>
      <c r="Q347">
        <v>0</v>
      </c>
      <c r="T347">
        <v>60</v>
      </c>
    </row>
    <row r="348" spans="1:20" x14ac:dyDescent="0.25">
      <c r="A348">
        <v>347</v>
      </c>
      <c r="B348" s="1" t="s">
        <v>1845</v>
      </c>
      <c r="C348" s="1" t="s">
        <v>1846</v>
      </c>
      <c r="D348" s="1" t="s">
        <v>1847</v>
      </c>
      <c r="E348" s="1"/>
      <c r="F348" s="1"/>
      <c r="G348" s="1"/>
      <c r="H348" s="1" t="s">
        <v>1848</v>
      </c>
      <c r="I348" s="1"/>
      <c r="J348" s="1" t="s">
        <v>636</v>
      </c>
      <c r="K348">
        <v>1</v>
      </c>
      <c r="L348">
        <v>0</v>
      </c>
      <c r="N348" s="21">
        <v>44415.628849618057</v>
      </c>
      <c r="O348" s="21">
        <v>44415.628849618057</v>
      </c>
      <c r="P348" s="21"/>
      <c r="Q348">
        <v>0</v>
      </c>
      <c r="T348">
        <v>60</v>
      </c>
    </row>
    <row r="349" spans="1:20" x14ac:dyDescent="0.25">
      <c r="A349">
        <v>348</v>
      </c>
      <c r="B349" s="1" t="s">
        <v>1849</v>
      </c>
      <c r="C349" s="1"/>
      <c r="D349" s="1" t="s">
        <v>1850</v>
      </c>
      <c r="E349" s="1"/>
      <c r="F349" s="1" t="s">
        <v>1851</v>
      </c>
      <c r="G349" s="1" t="s">
        <v>713</v>
      </c>
      <c r="H349" s="1" t="s">
        <v>1852</v>
      </c>
      <c r="I349" s="1"/>
      <c r="J349" s="1"/>
      <c r="K349">
        <v>1</v>
      </c>
      <c r="L349">
        <v>0</v>
      </c>
      <c r="N349" s="21">
        <v>44415.628849618057</v>
      </c>
      <c r="O349" s="21">
        <v>44415.628849618057</v>
      </c>
      <c r="P349" s="21"/>
      <c r="Q349">
        <v>0</v>
      </c>
      <c r="T349">
        <v>60</v>
      </c>
    </row>
    <row r="350" spans="1:20" x14ac:dyDescent="0.25">
      <c r="A350">
        <v>349</v>
      </c>
      <c r="B350" s="1" t="s">
        <v>1853</v>
      </c>
      <c r="C350" s="1" t="s">
        <v>1854</v>
      </c>
      <c r="D350" s="1" t="s">
        <v>1855</v>
      </c>
      <c r="E350" s="1"/>
      <c r="F350" s="1"/>
      <c r="G350" s="1" t="s">
        <v>713</v>
      </c>
      <c r="H350" s="1" t="s">
        <v>1856</v>
      </c>
      <c r="I350" s="1"/>
      <c r="J350" s="1" t="s">
        <v>636</v>
      </c>
      <c r="K350">
        <v>1</v>
      </c>
      <c r="L350">
        <v>0</v>
      </c>
      <c r="N350" s="21">
        <v>44415.628849618057</v>
      </c>
      <c r="O350" s="21">
        <v>44415.628849618057</v>
      </c>
      <c r="P350" s="21"/>
      <c r="Q350">
        <v>0</v>
      </c>
      <c r="T350">
        <v>60</v>
      </c>
    </row>
    <row r="351" spans="1:20" x14ac:dyDescent="0.25">
      <c r="A351">
        <v>350</v>
      </c>
      <c r="B351" s="1" t="s">
        <v>1857</v>
      </c>
      <c r="C351" s="1" t="s">
        <v>1858</v>
      </c>
      <c r="D351" s="1" t="s">
        <v>1859</v>
      </c>
      <c r="E351" s="1"/>
      <c r="F351" s="1" t="s">
        <v>1860</v>
      </c>
      <c r="G351" s="1" t="s">
        <v>713</v>
      </c>
      <c r="H351" s="1" t="s">
        <v>1861</v>
      </c>
      <c r="I351" s="1"/>
      <c r="J351" s="1" t="s">
        <v>641</v>
      </c>
      <c r="K351">
        <v>1</v>
      </c>
      <c r="L351">
        <v>0</v>
      </c>
      <c r="N351" s="21">
        <v>44415.628849618057</v>
      </c>
      <c r="O351" s="21">
        <v>44415.628849618057</v>
      </c>
      <c r="P351" s="21"/>
      <c r="Q351">
        <v>0</v>
      </c>
      <c r="T351">
        <v>60</v>
      </c>
    </row>
    <row r="352" spans="1:20" x14ac:dyDescent="0.25">
      <c r="A352">
        <v>351</v>
      </c>
      <c r="B352" s="1" t="s">
        <v>1862</v>
      </c>
      <c r="C352" s="1"/>
      <c r="D352" s="1" t="s">
        <v>1863</v>
      </c>
      <c r="E352" s="1"/>
      <c r="F352" s="1"/>
      <c r="G352" s="1" t="s">
        <v>713</v>
      </c>
      <c r="H352" s="1" t="s">
        <v>1864</v>
      </c>
      <c r="I352" s="1"/>
      <c r="J352" s="1" t="s">
        <v>641</v>
      </c>
      <c r="K352">
        <v>0</v>
      </c>
      <c r="L352">
        <v>0</v>
      </c>
      <c r="N352" s="21">
        <v>44415.628849618057</v>
      </c>
      <c r="O352" s="21">
        <v>44415.628849618057</v>
      </c>
      <c r="P352" s="21"/>
      <c r="Q352">
        <v>0</v>
      </c>
      <c r="T352">
        <v>60</v>
      </c>
    </row>
    <row r="353" spans="1:20" x14ac:dyDescent="0.25">
      <c r="A353">
        <v>352</v>
      </c>
      <c r="B353" s="1" t="s">
        <v>1865</v>
      </c>
      <c r="C353" s="1" t="s">
        <v>1866</v>
      </c>
      <c r="D353" s="1" t="s">
        <v>1867</v>
      </c>
      <c r="E353" s="1" t="s">
        <v>1865</v>
      </c>
      <c r="F353" s="1"/>
      <c r="G353" s="1" t="s">
        <v>713</v>
      </c>
      <c r="H353" s="1" t="s">
        <v>1868</v>
      </c>
      <c r="I353" s="1"/>
      <c r="J353" s="1" t="s">
        <v>636</v>
      </c>
      <c r="K353">
        <v>1</v>
      </c>
      <c r="L353">
        <v>0</v>
      </c>
      <c r="N353" s="21">
        <v>44415.628849618057</v>
      </c>
      <c r="O353" s="21">
        <v>44415.628849618057</v>
      </c>
      <c r="P353" s="21"/>
      <c r="Q353">
        <v>0</v>
      </c>
      <c r="T353">
        <v>60</v>
      </c>
    </row>
    <row r="354" spans="1:20" x14ac:dyDescent="0.25">
      <c r="A354">
        <v>353</v>
      </c>
      <c r="B354" s="1" t="s">
        <v>1869</v>
      </c>
      <c r="C354" s="1"/>
      <c r="D354" s="1" t="s">
        <v>1870</v>
      </c>
      <c r="E354" s="1"/>
      <c r="F354" s="1"/>
      <c r="G354" s="1"/>
      <c r="H354" s="1" t="s">
        <v>1871</v>
      </c>
      <c r="I354" s="1"/>
      <c r="J354" s="1"/>
      <c r="K354">
        <v>0</v>
      </c>
      <c r="L354">
        <v>0</v>
      </c>
      <c r="N354" s="21">
        <v>44415.628849618057</v>
      </c>
      <c r="O354" s="21">
        <v>44415.628849618057</v>
      </c>
      <c r="P354" s="21"/>
      <c r="Q354">
        <v>0</v>
      </c>
      <c r="T354">
        <v>60</v>
      </c>
    </row>
    <row r="355" spans="1:20" x14ac:dyDescent="0.25">
      <c r="A355">
        <v>354</v>
      </c>
      <c r="B355" s="1" t="s">
        <v>1872</v>
      </c>
      <c r="C355" s="1" t="s">
        <v>1873</v>
      </c>
      <c r="D355" s="1" t="s">
        <v>1874</v>
      </c>
      <c r="E355" s="1"/>
      <c r="F355" s="1"/>
      <c r="G355" s="1" t="s">
        <v>713</v>
      </c>
      <c r="H355" s="1" t="s">
        <v>1875</v>
      </c>
      <c r="I355" s="1"/>
      <c r="J355" s="1" t="s">
        <v>641</v>
      </c>
      <c r="K355">
        <v>1</v>
      </c>
      <c r="L355">
        <v>0</v>
      </c>
      <c r="N355" s="21">
        <v>44415.628849618057</v>
      </c>
      <c r="O355" s="21">
        <v>44415.628849618057</v>
      </c>
      <c r="P355" s="21"/>
      <c r="Q355">
        <v>0</v>
      </c>
      <c r="T355">
        <v>60</v>
      </c>
    </row>
    <row r="356" spans="1:20" x14ac:dyDescent="0.25">
      <c r="A356">
        <v>355</v>
      </c>
      <c r="B356" s="1" t="s">
        <v>1876</v>
      </c>
      <c r="C356" s="1"/>
      <c r="D356" s="1" t="s">
        <v>1877</v>
      </c>
      <c r="E356" s="1"/>
      <c r="F356" s="1"/>
      <c r="G356" s="1" t="s">
        <v>713</v>
      </c>
      <c r="H356" s="1" t="s">
        <v>1878</v>
      </c>
      <c r="I356" s="1"/>
      <c r="J356" s="1" t="s">
        <v>641</v>
      </c>
      <c r="K356">
        <v>0</v>
      </c>
      <c r="L356">
        <v>0</v>
      </c>
      <c r="N356" s="21">
        <v>44415.628849618057</v>
      </c>
      <c r="O356" s="21">
        <v>44415.628849618057</v>
      </c>
      <c r="P356" s="21"/>
      <c r="Q356">
        <v>0</v>
      </c>
      <c r="T356">
        <v>60</v>
      </c>
    </row>
    <row r="357" spans="1:20" x14ac:dyDescent="0.25">
      <c r="A357">
        <v>356</v>
      </c>
      <c r="B357" s="1" t="s">
        <v>1879</v>
      </c>
      <c r="C357" s="1"/>
      <c r="D357" s="1" t="s">
        <v>1880</v>
      </c>
      <c r="E357" s="1"/>
      <c r="F357" s="1"/>
      <c r="G357" s="1"/>
      <c r="H357" s="1" t="s">
        <v>1881</v>
      </c>
      <c r="I357" s="1"/>
      <c r="J357" s="1"/>
      <c r="K357">
        <v>0</v>
      </c>
      <c r="L357">
        <v>0</v>
      </c>
      <c r="N357" s="21">
        <v>44415.628849618057</v>
      </c>
      <c r="O357" s="21">
        <v>44415.628849618057</v>
      </c>
      <c r="P357" s="21"/>
      <c r="Q357">
        <v>0</v>
      </c>
      <c r="T357">
        <v>60</v>
      </c>
    </row>
    <row r="358" spans="1:20" x14ac:dyDescent="0.25">
      <c r="A358">
        <v>357</v>
      </c>
      <c r="B358" s="1" t="s">
        <v>1882</v>
      </c>
      <c r="C358" s="1" t="s">
        <v>1883</v>
      </c>
      <c r="D358" s="1" t="s">
        <v>1884</v>
      </c>
      <c r="E358" s="1"/>
      <c r="F358" s="1"/>
      <c r="G358" s="1"/>
      <c r="H358" s="1" t="s">
        <v>1885</v>
      </c>
      <c r="I358" s="1"/>
      <c r="J358" s="1" t="s">
        <v>636</v>
      </c>
      <c r="K358">
        <v>1</v>
      </c>
      <c r="L358">
        <v>0</v>
      </c>
      <c r="N358" s="21">
        <v>44415.628849618057</v>
      </c>
      <c r="O358" s="21">
        <v>44415.628849618057</v>
      </c>
      <c r="P358" s="21"/>
      <c r="Q358">
        <v>0</v>
      </c>
      <c r="T358">
        <v>60</v>
      </c>
    </row>
    <row r="359" spans="1:20" x14ac:dyDescent="0.25">
      <c r="A359">
        <v>358</v>
      </c>
      <c r="B359" s="1" t="s">
        <v>1886</v>
      </c>
      <c r="C359" s="1"/>
      <c r="D359" s="1" t="s">
        <v>1887</v>
      </c>
      <c r="E359" s="1"/>
      <c r="F359" s="1"/>
      <c r="G359" s="1" t="s">
        <v>713</v>
      </c>
      <c r="H359" s="1" t="s">
        <v>1888</v>
      </c>
      <c r="I359" s="1"/>
      <c r="J359" s="1"/>
      <c r="K359">
        <v>0</v>
      </c>
      <c r="L359">
        <v>0</v>
      </c>
      <c r="N359" s="21">
        <v>44415.628849618057</v>
      </c>
      <c r="O359" s="21">
        <v>44415.628849618057</v>
      </c>
      <c r="P359" s="21"/>
      <c r="Q359">
        <v>0</v>
      </c>
      <c r="T359">
        <v>60</v>
      </c>
    </row>
    <row r="360" spans="1:20" x14ac:dyDescent="0.25">
      <c r="A360">
        <v>359</v>
      </c>
      <c r="B360" s="1" t="s">
        <v>1889</v>
      </c>
      <c r="C360" s="1"/>
      <c r="D360" s="1" t="s">
        <v>1890</v>
      </c>
      <c r="E360" s="1"/>
      <c r="F360" s="1"/>
      <c r="G360" s="1" t="s">
        <v>634</v>
      </c>
      <c r="H360" s="1" t="s">
        <v>1891</v>
      </c>
      <c r="I360" s="1"/>
      <c r="J360" s="1"/>
      <c r="K360">
        <v>0</v>
      </c>
      <c r="L360">
        <v>0</v>
      </c>
      <c r="N360" s="21">
        <v>44415.628849618057</v>
      </c>
      <c r="O360" s="21">
        <v>44415.628849618057</v>
      </c>
      <c r="P360" s="21"/>
      <c r="Q360">
        <v>0</v>
      </c>
      <c r="T360">
        <v>60</v>
      </c>
    </row>
    <row r="361" spans="1:20" x14ac:dyDescent="0.25">
      <c r="A361">
        <v>360</v>
      </c>
      <c r="B361" s="1" t="s">
        <v>1892</v>
      </c>
      <c r="C361" s="1" t="s">
        <v>1893</v>
      </c>
      <c r="D361" s="1" t="s">
        <v>1894</v>
      </c>
      <c r="E361" s="1"/>
      <c r="F361" s="1"/>
      <c r="G361" s="1" t="s">
        <v>634</v>
      </c>
      <c r="H361" s="1" t="s">
        <v>1895</v>
      </c>
      <c r="I361" s="1" t="s">
        <v>568</v>
      </c>
      <c r="J361" s="1" t="s">
        <v>754</v>
      </c>
      <c r="K361">
        <v>0</v>
      </c>
      <c r="L361">
        <v>1</v>
      </c>
      <c r="M361">
        <v>84</v>
      </c>
      <c r="N361" s="21">
        <v>44415.628849618057</v>
      </c>
      <c r="O361" s="21">
        <v>44415.628849618057</v>
      </c>
      <c r="P361" s="21"/>
      <c r="Q361">
        <v>0</v>
      </c>
      <c r="T361">
        <v>60</v>
      </c>
    </row>
    <row r="362" spans="1:20" x14ac:dyDescent="0.25">
      <c r="A362">
        <v>361</v>
      </c>
      <c r="B362" s="1" t="s">
        <v>1896</v>
      </c>
      <c r="C362" s="1" t="s">
        <v>1897</v>
      </c>
      <c r="D362" s="1" t="s">
        <v>1898</v>
      </c>
      <c r="E362" s="1"/>
      <c r="F362" s="1"/>
      <c r="G362" s="1" t="s">
        <v>634</v>
      </c>
      <c r="H362" s="1" t="s">
        <v>1899</v>
      </c>
      <c r="I362" s="1" t="s">
        <v>568</v>
      </c>
      <c r="J362" s="1" t="s">
        <v>754</v>
      </c>
      <c r="K362">
        <v>0</v>
      </c>
      <c r="L362">
        <v>1</v>
      </c>
      <c r="M362">
        <v>35</v>
      </c>
      <c r="N362" s="21">
        <v>44415.628849618057</v>
      </c>
      <c r="O362" s="21">
        <v>44415.628849618057</v>
      </c>
      <c r="P362" s="21"/>
      <c r="Q362">
        <v>0</v>
      </c>
      <c r="T362">
        <v>60</v>
      </c>
    </row>
    <row r="363" spans="1:20" x14ac:dyDescent="0.25">
      <c r="A363">
        <v>362</v>
      </c>
      <c r="B363" s="1" t="s">
        <v>1900</v>
      </c>
      <c r="C363" s="1"/>
      <c r="D363" s="1" t="s">
        <v>1901</v>
      </c>
      <c r="E363" s="1"/>
      <c r="F363" s="1"/>
      <c r="G363" s="1"/>
      <c r="H363" s="1" t="s">
        <v>1902</v>
      </c>
      <c r="I363" s="1"/>
      <c r="J363" s="1"/>
      <c r="K363">
        <v>0</v>
      </c>
      <c r="L363">
        <v>0</v>
      </c>
      <c r="N363" s="21">
        <v>44415.628849618057</v>
      </c>
      <c r="O363" s="21">
        <v>44415.628849618057</v>
      </c>
      <c r="P363" s="21"/>
      <c r="Q363">
        <v>0</v>
      </c>
      <c r="T363">
        <v>60</v>
      </c>
    </row>
    <row r="364" spans="1:20" x14ac:dyDescent="0.25">
      <c r="A364">
        <v>363</v>
      </c>
      <c r="B364" s="1" t="s">
        <v>1903</v>
      </c>
      <c r="C364" s="1" t="s">
        <v>1904</v>
      </c>
      <c r="D364" s="1" t="s">
        <v>1905</v>
      </c>
      <c r="E364" s="1"/>
      <c r="F364" s="1"/>
      <c r="G364" s="1" t="s">
        <v>634</v>
      </c>
      <c r="H364" s="1" t="s">
        <v>1906</v>
      </c>
      <c r="I364" s="1" t="s">
        <v>568</v>
      </c>
      <c r="J364" s="1" t="s">
        <v>636</v>
      </c>
      <c r="K364">
        <v>0</v>
      </c>
      <c r="L364">
        <v>1</v>
      </c>
      <c r="M364">
        <v>5593</v>
      </c>
      <c r="N364" s="21">
        <v>44415.628849618057</v>
      </c>
      <c r="O364" s="21">
        <v>44415.628849618057</v>
      </c>
      <c r="P364" s="21"/>
      <c r="Q364">
        <v>0</v>
      </c>
      <c r="T364">
        <v>60</v>
      </c>
    </row>
    <row r="365" spans="1:20" x14ac:dyDescent="0.25">
      <c r="A365">
        <v>364</v>
      </c>
      <c r="B365" s="1" t="s">
        <v>1907</v>
      </c>
      <c r="C365" s="1" t="s">
        <v>1908</v>
      </c>
      <c r="D365" s="1" t="s">
        <v>1909</v>
      </c>
      <c r="E365" s="1"/>
      <c r="F365" s="1"/>
      <c r="G365" s="1" t="s">
        <v>634</v>
      </c>
      <c r="H365" s="1" t="s">
        <v>1910</v>
      </c>
      <c r="I365" s="1" t="s">
        <v>568</v>
      </c>
      <c r="J365" s="1" t="s">
        <v>641</v>
      </c>
      <c r="K365">
        <v>0</v>
      </c>
      <c r="L365">
        <v>1</v>
      </c>
      <c r="M365">
        <v>4808</v>
      </c>
      <c r="N365" s="21">
        <v>44415.628849618057</v>
      </c>
      <c r="O365" s="21">
        <v>44415.628849618057</v>
      </c>
      <c r="P365" s="21"/>
      <c r="Q365">
        <v>0</v>
      </c>
      <c r="T365">
        <v>60</v>
      </c>
    </row>
    <row r="366" spans="1:20" x14ac:dyDescent="0.25">
      <c r="A366">
        <v>365</v>
      </c>
      <c r="B366" s="1" t="s">
        <v>1911</v>
      </c>
      <c r="C366" s="1" t="s">
        <v>1912</v>
      </c>
      <c r="D366" s="1" t="s">
        <v>1913</v>
      </c>
      <c r="E366" s="1"/>
      <c r="F366" s="1"/>
      <c r="G366" s="1" t="s">
        <v>634</v>
      </c>
      <c r="H366" s="1" t="s">
        <v>1914</v>
      </c>
      <c r="I366" s="1" t="s">
        <v>995</v>
      </c>
      <c r="J366" s="1" t="s">
        <v>641</v>
      </c>
      <c r="K366">
        <v>0</v>
      </c>
      <c r="L366">
        <v>1</v>
      </c>
      <c r="M366">
        <v>4435</v>
      </c>
      <c r="N366" s="21">
        <v>44415.628849618057</v>
      </c>
      <c r="O366" s="21">
        <v>44415.628849618057</v>
      </c>
      <c r="P366" s="21"/>
      <c r="Q366">
        <v>0</v>
      </c>
      <c r="T366">
        <v>60</v>
      </c>
    </row>
    <row r="367" spans="1:20" x14ac:dyDescent="0.25">
      <c r="A367">
        <v>366</v>
      </c>
      <c r="B367" s="1" t="s">
        <v>1915</v>
      </c>
      <c r="C367" s="1"/>
      <c r="D367" s="1" t="s">
        <v>1916</v>
      </c>
      <c r="E367" s="1"/>
      <c r="F367" s="1"/>
      <c r="G367" s="1"/>
      <c r="H367" s="1" t="s">
        <v>1917</v>
      </c>
      <c r="I367" s="1"/>
      <c r="J367" s="1"/>
      <c r="K367">
        <v>0</v>
      </c>
      <c r="L367">
        <v>1</v>
      </c>
      <c r="M367">
        <v>68</v>
      </c>
      <c r="N367" s="21">
        <v>44415.628849618057</v>
      </c>
      <c r="O367" s="21">
        <v>44415.628849618057</v>
      </c>
      <c r="P367" s="21"/>
      <c r="Q367">
        <v>0</v>
      </c>
      <c r="T367">
        <v>60</v>
      </c>
    </row>
    <row r="368" spans="1:20" x14ac:dyDescent="0.25">
      <c r="A368">
        <v>367</v>
      </c>
      <c r="B368" s="1" t="s">
        <v>1915</v>
      </c>
      <c r="C368" s="1" t="s">
        <v>1918</v>
      </c>
      <c r="D368" s="1" t="s">
        <v>1916</v>
      </c>
      <c r="E368" s="1"/>
      <c r="F368" s="1"/>
      <c r="G368" s="1" t="s">
        <v>634</v>
      </c>
      <c r="H368" s="1" t="s">
        <v>1917</v>
      </c>
      <c r="I368" s="1" t="s">
        <v>568</v>
      </c>
      <c r="J368" s="1" t="s">
        <v>1919</v>
      </c>
      <c r="K368">
        <v>0</v>
      </c>
      <c r="L368">
        <v>1</v>
      </c>
      <c r="M368">
        <v>68</v>
      </c>
      <c r="N368" s="21">
        <v>44415.628849618057</v>
      </c>
      <c r="O368" s="21">
        <v>44415.628849618057</v>
      </c>
      <c r="P368" s="21"/>
      <c r="Q368">
        <v>0</v>
      </c>
      <c r="T368">
        <v>60</v>
      </c>
    </row>
    <row r="369" spans="1:20" x14ac:dyDescent="0.25">
      <c r="A369">
        <v>368</v>
      </c>
      <c r="B369" s="1" t="s">
        <v>1920</v>
      </c>
      <c r="C369" s="1"/>
      <c r="D369" s="1" t="s">
        <v>1921</v>
      </c>
      <c r="E369" s="1"/>
      <c r="F369" s="1"/>
      <c r="G369" s="1" t="s">
        <v>644</v>
      </c>
      <c r="H369" s="1" t="s">
        <v>1922</v>
      </c>
      <c r="I369" s="1" t="s">
        <v>782</v>
      </c>
      <c r="J369" s="1" t="s">
        <v>636</v>
      </c>
      <c r="K369">
        <v>0</v>
      </c>
      <c r="L369">
        <v>0</v>
      </c>
      <c r="N369" s="21">
        <v>44415.628849618057</v>
      </c>
      <c r="O369" s="21">
        <v>44415.628849618057</v>
      </c>
      <c r="P369" s="21"/>
      <c r="Q369">
        <v>0</v>
      </c>
      <c r="T369">
        <v>60</v>
      </c>
    </row>
    <row r="370" spans="1:20" x14ac:dyDescent="0.25">
      <c r="A370">
        <v>369</v>
      </c>
      <c r="B370" s="1" t="s">
        <v>1923</v>
      </c>
      <c r="C370" s="1"/>
      <c r="D370" s="1" t="s">
        <v>1924</v>
      </c>
      <c r="E370" s="1"/>
      <c r="F370" s="1"/>
      <c r="G370" s="1" t="s">
        <v>634</v>
      </c>
      <c r="H370" s="1" t="s">
        <v>1925</v>
      </c>
      <c r="I370" s="1" t="s">
        <v>568</v>
      </c>
      <c r="J370" s="1" t="s">
        <v>641</v>
      </c>
      <c r="K370">
        <v>0</v>
      </c>
      <c r="L370">
        <v>0</v>
      </c>
      <c r="N370" s="21">
        <v>44415.628849618057</v>
      </c>
      <c r="O370" s="21">
        <v>44415.628849618057</v>
      </c>
      <c r="P370" s="21"/>
      <c r="Q370">
        <v>0</v>
      </c>
      <c r="T370">
        <v>60</v>
      </c>
    </row>
    <row r="371" spans="1:20" x14ac:dyDescent="0.25">
      <c r="A371">
        <v>370</v>
      </c>
      <c r="B371" s="1" t="s">
        <v>1926</v>
      </c>
      <c r="C371" s="1" t="s">
        <v>1927</v>
      </c>
      <c r="D371" s="1" t="s">
        <v>1928</v>
      </c>
      <c r="E371" s="1"/>
      <c r="F371" s="1"/>
      <c r="G371" s="1" t="s">
        <v>644</v>
      </c>
      <c r="H371" s="1" t="s">
        <v>1929</v>
      </c>
      <c r="I371" s="1" t="s">
        <v>568</v>
      </c>
      <c r="J371" s="1" t="s">
        <v>641</v>
      </c>
      <c r="K371">
        <v>0</v>
      </c>
      <c r="L371">
        <v>1</v>
      </c>
      <c r="M371">
        <v>116</v>
      </c>
      <c r="N371" s="21">
        <v>44415.628849618057</v>
      </c>
      <c r="O371" s="21">
        <v>44415.628849618057</v>
      </c>
      <c r="P371" s="21"/>
      <c r="Q371">
        <v>0</v>
      </c>
      <c r="T371">
        <v>60</v>
      </c>
    </row>
    <row r="372" spans="1:20" x14ac:dyDescent="0.25">
      <c r="A372">
        <v>371</v>
      </c>
      <c r="B372" s="1" t="s">
        <v>1930</v>
      </c>
      <c r="C372" s="1"/>
      <c r="D372" s="1" t="s">
        <v>1931</v>
      </c>
      <c r="E372" s="1"/>
      <c r="F372" s="1"/>
      <c r="G372" s="1"/>
      <c r="H372" s="1" t="s">
        <v>1932</v>
      </c>
      <c r="I372" s="1"/>
      <c r="J372" s="1"/>
      <c r="K372">
        <v>0</v>
      </c>
      <c r="L372">
        <v>0</v>
      </c>
      <c r="N372" s="21">
        <v>44415.628849618057</v>
      </c>
      <c r="O372" s="21">
        <v>44415.628849618057</v>
      </c>
      <c r="P372" s="21"/>
      <c r="Q372">
        <v>0</v>
      </c>
      <c r="T372">
        <v>60</v>
      </c>
    </row>
    <row r="373" spans="1:20" x14ac:dyDescent="0.25">
      <c r="A373">
        <v>372</v>
      </c>
      <c r="B373" s="1" t="s">
        <v>1933</v>
      </c>
      <c r="C373" s="1"/>
      <c r="D373" s="1" t="s">
        <v>1934</v>
      </c>
      <c r="E373" s="1"/>
      <c r="F373" s="1"/>
      <c r="G373" s="1"/>
      <c r="H373" s="1" t="s">
        <v>1935</v>
      </c>
      <c r="I373" s="1"/>
      <c r="J373" s="1"/>
      <c r="K373">
        <v>0</v>
      </c>
      <c r="L373">
        <v>0</v>
      </c>
      <c r="N373" s="21">
        <v>44415.628849618057</v>
      </c>
      <c r="O373" s="21">
        <v>44415.628849618057</v>
      </c>
      <c r="P373" s="21"/>
      <c r="Q373">
        <v>0</v>
      </c>
      <c r="T373">
        <v>60</v>
      </c>
    </row>
    <row r="374" spans="1:20" x14ac:dyDescent="0.25">
      <c r="A374">
        <v>373</v>
      </c>
      <c r="B374" s="1" t="s">
        <v>1936</v>
      </c>
      <c r="C374" s="1"/>
      <c r="D374" s="1" t="s">
        <v>1937</v>
      </c>
      <c r="E374" s="1"/>
      <c r="F374" s="1"/>
      <c r="G374" s="1"/>
      <c r="H374" s="1" t="s">
        <v>1938</v>
      </c>
      <c r="I374" s="1"/>
      <c r="J374" s="1"/>
      <c r="K374">
        <v>0</v>
      </c>
      <c r="L374">
        <v>0</v>
      </c>
      <c r="N374" s="21">
        <v>44415.628849618057</v>
      </c>
      <c r="O374" s="21">
        <v>44415.628849618057</v>
      </c>
      <c r="P374" s="21"/>
      <c r="Q374">
        <v>0</v>
      </c>
      <c r="T374">
        <v>60</v>
      </c>
    </row>
    <row r="375" spans="1:20" x14ac:dyDescent="0.25">
      <c r="A375">
        <v>374</v>
      </c>
      <c r="B375" s="1" t="s">
        <v>1939</v>
      </c>
      <c r="C375" s="1"/>
      <c r="D375" s="1" t="s">
        <v>1940</v>
      </c>
      <c r="E375" s="1"/>
      <c r="F375" s="1" t="s">
        <v>1941</v>
      </c>
      <c r="G375" s="1" t="s">
        <v>634</v>
      </c>
      <c r="H375" s="1" t="s">
        <v>1942</v>
      </c>
      <c r="I375" s="1"/>
      <c r="J375" s="1"/>
      <c r="K375">
        <v>0</v>
      </c>
      <c r="L375">
        <v>0</v>
      </c>
      <c r="N375" s="21">
        <v>44415.628849618057</v>
      </c>
      <c r="O375" s="21">
        <v>44415.628849618057</v>
      </c>
      <c r="P375" s="21"/>
      <c r="Q375">
        <v>0</v>
      </c>
      <c r="T375">
        <v>60</v>
      </c>
    </row>
    <row r="376" spans="1:20" x14ac:dyDescent="0.25">
      <c r="A376">
        <v>375</v>
      </c>
      <c r="B376" s="1" t="s">
        <v>1943</v>
      </c>
      <c r="C376" s="1" t="s">
        <v>1944</v>
      </c>
      <c r="D376" s="1" t="s">
        <v>1945</v>
      </c>
      <c r="E376" s="1"/>
      <c r="F376" s="1"/>
      <c r="G376" s="1" t="s">
        <v>634</v>
      </c>
      <c r="H376" s="1" t="s">
        <v>1946</v>
      </c>
      <c r="I376" s="1" t="s">
        <v>568</v>
      </c>
      <c r="J376" s="1" t="s">
        <v>636</v>
      </c>
      <c r="K376">
        <v>0</v>
      </c>
      <c r="L376">
        <v>1</v>
      </c>
      <c r="M376">
        <v>1525</v>
      </c>
      <c r="N376" s="21">
        <v>44415.628849618057</v>
      </c>
      <c r="O376" s="21">
        <v>44415.628849618057</v>
      </c>
      <c r="P376" s="21"/>
      <c r="Q376">
        <v>0</v>
      </c>
      <c r="T376">
        <v>60</v>
      </c>
    </row>
    <row r="377" spans="1:20" x14ac:dyDescent="0.25">
      <c r="A377">
        <v>376</v>
      </c>
      <c r="B377" s="1" t="s">
        <v>1947</v>
      </c>
      <c r="C377" s="1" t="s">
        <v>1948</v>
      </c>
      <c r="D377" s="1" t="s">
        <v>1949</v>
      </c>
      <c r="E377" s="1"/>
      <c r="F377" s="1"/>
      <c r="G377" s="1" t="s">
        <v>634</v>
      </c>
      <c r="H377" s="1" t="s">
        <v>1950</v>
      </c>
      <c r="I377" s="1" t="s">
        <v>568</v>
      </c>
      <c r="J377" s="1" t="s">
        <v>636</v>
      </c>
      <c r="K377">
        <v>0</v>
      </c>
      <c r="L377">
        <v>1</v>
      </c>
      <c r="M377">
        <v>10</v>
      </c>
      <c r="N377" s="21">
        <v>44415.628849618057</v>
      </c>
      <c r="O377" s="21">
        <v>44415.628849618057</v>
      </c>
      <c r="P377" s="21"/>
      <c r="Q377">
        <v>0</v>
      </c>
      <c r="T377">
        <v>60</v>
      </c>
    </row>
    <row r="378" spans="1:20" x14ac:dyDescent="0.25">
      <c r="A378">
        <v>377</v>
      </c>
      <c r="B378" s="1" t="s">
        <v>1951</v>
      </c>
      <c r="C378" s="1"/>
      <c r="D378" s="1" t="s">
        <v>1952</v>
      </c>
      <c r="E378" s="1" t="s">
        <v>1953</v>
      </c>
      <c r="F378" s="1"/>
      <c r="G378" s="1" t="s">
        <v>634</v>
      </c>
      <c r="H378" s="1"/>
      <c r="I378" s="1" t="s">
        <v>675</v>
      </c>
      <c r="J378" s="1"/>
      <c r="K378">
        <v>0</v>
      </c>
      <c r="L378">
        <v>0</v>
      </c>
      <c r="N378" s="21">
        <v>44415.628849618057</v>
      </c>
      <c r="O378" s="21">
        <v>44415.628849618057</v>
      </c>
      <c r="P378" s="21"/>
      <c r="Q378">
        <v>0</v>
      </c>
      <c r="T378">
        <v>60</v>
      </c>
    </row>
    <row r="379" spans="1:20" x14ac:dyDescent="0.25">
      <c r="A379">
        <v>378</v>
      </c>
      <c r="B379" s="1" t="s">
        <v>1954</v>
      </c>
      <c r="C379" s="1"/>
      <c r="D379" s="1" t="s">
        <v>1955</v>
      </c>
      <c r="E379" s="1"/>
      <c r="F379" s="1"/>
      <c r="G379" s="1"/>
      <c r="H379" s="1" t="s">
        <v>1956</v>
      </c>
      <c r="I379" s="1"/>
      <c r="J379" s="1"/>
      <c r="K379">
        <v>0</v>
      </c>
      <c r="L379">
        <v>0</v>
      </c>
      <c r="N379" s="21">
        <v>44415.628849618057</v>
      </c>
      <c r="O379" s="21">
        <v>44415.628849618057</v>
      </c>
      <c r="P379" s="21"/>
      <c r="Q379">
        <v>0</v>
      </c>
      <c r="T379">
        <v>60</v>
      </c>
    </row>
    <row r="380" spans="1:20" x14ac:dyDescent="0.25">
      <c r="A380">
        <v>379</v>
      </c>
      <c r="B380" s="1" t="s">
        <v>1957</v>
      </c>
      <c r="C380" s="1"/>
      <c r="D380" s="1" t="s">
        <v>1958</v>
      </c>
      <c r="E380" s="1"/>
      <c r="F380" s="1"/>
      <c r="G380" s="1" t="s">
        <v>634</v>
      </c>
      <c r="H380" s="1" t="s">
        <v>1959</v>
      </c>
      <c r="I380" s="1" t="s">
        <v>568</v>
      </c>
      <c r="J380" s="1"/>
      <c r="K380">
        <v>0</v>
      </c>
      <c r="L380">
        <v>0</v>
      </c>
      <c r="N380" s="21">
        <v>44415.628849618057</v>
      </c>
      <c r="O380" s="21">
        <v>44415.628849618057</v>
      </c>
      <c r="P380" s="21"/>
      <c r="Q380">
        <v>0</v>
      </c>
      <c r="T380">
        <v>60</v>
      </c>
    </row>
    <row r="381" spans="1:20" x14ac:dyDescent="0.25">
      <c r="A381">
        <v>380</v>
      </c>
      <c r="B381" s="1" t="s">
        <v>1960</v>
      </c>
      <c r="C381" s="1"/>
      <c r="D381" s="1" t="s">
        <v>1961</v>
      </c>
      <c r="E381" s="1"/>
      <c r="F381" s="1"/>
      <c r="G381" s="1" t="s">
        <v>634</v>
      </c>
      <c r="H381" s="1" t="s">
        <v>1962</v>
      </c>
      <c r="I381" s="1" t="s">
        <v>568</v>
      </c>
      <c r="J381" s="1" t="s">
        <v>636</v>
      </c>
      <c r="K381">
        <v>0</v>
      </c>
      <c r="L381">
        <v>0</v>
      </c>
      <c r="N381" s="21">
        <v>44415.628849618057</v>
      </c>
      <c r="O381" s="21">
        <v>44415.628849618057</v>
      </c>
      <c r="P381" s="21"/>
      <c r="Q381">
        <v>0</v>
      </c>
      <c r="T381">
        <v>60</v>
      </c>
    </row>
    <row r="382" spans="1:20" x14ac:dyDescent="0.25">
      <c r="A382">
        <v>381</v>
      </c>
      <c r="B382" s="1" t="s">
        <v>1963</v>
      </c>
      <c r="C382" s="1"/>
      <c r="D382" s="1" t="s">
        <v>1964</v>
      </c>
      <c r="E382" s="1"/>
      <c r="F382" s="1"/>
      <c r="G382" s="1" t="s">
        <v>634</v>
      </c>
      <c r="H382" s="1" t="s">
        <v>1965</v>
      </c>
      <c r="I382" s="1" t="s">
        <v>568</v>
      </c>
      <c r="J382" s="1"/>
      <c r="K382">
        <v>0</v>
      </c>
      <c r="L382">
        <v>0</v>
      </c>
      <c r="N382" s="21">
        <v>44415.628849618057</v>
      </c>
      <c r="O382" s="21">
        <v>44415.628849618057</v>
      </c>
      <c r="P382" s="21"/>
      <c r="Q382">
        <v>0</v>
      </c>
      <c r="T382">
        <v>60</v>
      </c>
    </row>
    <row r="383" spans="1:20" x14ac:dyDescent="0.25">
      <c r="A383">
        <v>382</v>
      </c>
      <c r="B383" s="1" t="s">
        <v>1966</v>
      </c>
      <c r="C383" s="1"/>
      <c r="D383" s="1" t="s">
        <v>1967</v>
      </c>
      <c r="E383" s="1"/>
      <c r="F383" s="1"/>
      <c r="G383" s="1"/>
      <c r="H383" s="1" t="s">
        <v>1968</v>
      </c>
      <c r="I383" s="1"/>
      <c r="J383" s="1"/>
      <c r="K383">
        <v>0</v>
      </c>
      <c r="L383">
        <v>0</v>
      </c>
      <c r="N383" s="21">
        <v>44415.628849618057</v>
      </c>
      <c r="O383" s="21">
        <v>44415.628849618057</v>
      </c>
      <c r="P383" s="21"/>
      <c r="Q383">
        <v>0</v>
      </c>
      <c r="T383">
        <v>60</v>
      </c>
    </row>
    <row r="384" spans="1:20" x14ac:dyDescent="0.25">
      <c r="A384">
        <v>383</v>
      </c>
      <c r="B384" s="1" t="s">
        <v>1969</v>
      </c>
      <c r="C384" s="1"/>
      <c r="D384" s="1" t="s">
        <v>1970</v>
      </c>
      <c r="E384" s="1"/>
      <c r="F384" s="1"/>
      <c r="G384" s="1" t="s">
        <v>713</v>
      </c>
      <c r="H384" s="1" t="s">
        <v>1971</v>
      </c>
      <c r="I384" s="1"/>
      <c r="J384" s="1"/>
      <c r="K384">
        <v>0</v>
      </c>
      <c r="L384">
        <v>0</v>
      </c>
      <c r="N384" s="21">
        <v>44415.628849618057</v>
      </c>
      <c r="O384" s="21">
        <v>44415.628849618057</v>
      </c>
      <c r="P384" s="21"/>
      <c r="Q384">
        <v>0</v>
      </c>
      <c r="T384">
        <v>60</v>
      </c>
    </row>
    <row r="385" spans="1:20" x14ac:dyDescent="0.25">
      <c r="A385">
        <v>384</v>
      </c>
      <c r="B385" s="1" t="s">
        <v>1972</v>
      </c>
      <c r="C385" s="1" t="s">
        <v>1973</v>
      </c>
      <c r="D385" s="1" t="s">
        <v>1974</v>
      </c>
      <c r="E385" s="1"/>
      <c r="F385" s="1" t="s">
        <v>1975</v>
      </c>
      <c r="G385" s="1" t="s">
        <v>713</v>
      </c>
      <c r="H385" s="1" t="s">
        <v>1976</v>
      </c>
      <c r="I385" s="1"/>
      <c r="J385" s="1" t="s">
        <v>636</v>
      </c>
      <c r="K385">
        <v>0</v>
      </c>
      <c r="L385">
        <v>1</v>
      </c>
      <c r="M385">
        <v>33</v>
      </c>
      <c r="N385" s="21">
        <v>44415.628849618057</v>
      </c>
      <c r="O385" s="21">
        <v>44415.628849618057</v>
      </c>
      <c r="P385" s="21"/>
      <c r="Q385">
        <v>0</v>
      </c>
      <c r="T385">
        <v>60</v>
      </c>
    </row>
    <row r="386" spans="1:20" x14ac:dyDescent="0.25">
      <c r="A386">
        <v>385</v>
      </c>
      <c r="B386" s="1" t="s">
        <v>1977</v>
      </c>
      <c r="C386" s="1"/>
      <c r="D386" s="1" t="s">
        <v>1978</v>
      </c>
      <c r="E386" s="1"/>
      <c r="F386" s="1"/>
      <c r="G386" s="1"/>
      <c r="H386" s="1" t="s">
        <v>1979</v>
      </c>
      <c r="I386" s="1"/>
      <c r="J386" s="1" t="s">
        <v>641</v>
      </c>
      <c r="K386">
        <v>0</v>
      </c>
      <c r="L386">
        <v>0</v>
      </c>
      <c r="N386" s="21">
        <v>44415.628849618057</v>
      </c>
      <c r="O386" s="21">
        <v>44415.628849618057</v>
      </c>
      <c r="P386" s="21"/>
      <c r="Q386">
        <v>0</v>
      </c>
      <c r="T386">
        <v>60</v>
      </c>
    </row>
    <row r="387" spans="1:20" x14ac:dyDescent="0.25">
      <c r="A387">
        <v>386</v>
      </c>
      <c r="B387" s="1" t="s">
        <v>1980</v>
      </c>
      <c r="C387" s="1" t="s">
        <v>1981</v>
      </c>
      <c r="D387" s="1" t="s">
        <v>1982</v>
      </c>
      <c r="E387" s="1"/>
      <c r="F387" s="1"/>
      <c r="G387" s="1" t="s">
        <v>713</v>
      </c>
      <c r="H387" s="1" t="s">
        <v>1983</v>
      </c>
      <c r="I387" s="1"/>
      <c r="J387" s="1" t="s">
        <v>641</v>
      </c>
      <c r="K387">
        <v>1</v>
      </c>
      <c r="L387">
        <v>0</v>
      </c>
      <c r="N387" s="21">
        <v>44415.628849618057</v>
      </c>
      <c r="O387" s="21">
        <v>44415.628849618057</v>
      </c>
      <c r="P387" s="21"/>
      <c r="Q387">
        <v>0</v>
      </c>
      <c r="T387">
        <v>60</v>
      </c>
    </row>
    <row r="388" spans="1:20" x14ac:dyDescent="0.25">
      <c r="A388">
        <v>387</v>
      </c>
      <c r="B388" s="1" t="s">
        <v>1984</v>
      </c>
      <c r="C388" s="1"/>
      <c r="D388" s="1" t="s">
        <v>1985</v>
      </c>
      <c r="E388" s="1"/>
      <c r="F388" s="1"/>
      <c r="G388" s="1"/>
      <c r="H388" s="1" t="s">
        <v>1986</v>
      </c>
      <c r="I388" s="1"/>
      <c r="J388" s="1"/>
      <c r="K388">
        <v>0</v>
      </c>
      <c r="L388">
        <v>0</v>
      </c>
      <c r="N388" s="21">
        <v>44415.628849618057</v>
      </c>
      <c r="O388" s="21">
        <v>44415.628849618057</v>
      </c>
      <c r="P388" s="21"/>
      <c r="Q388">
        <v>0</v>
      </c>
      <c r="T388">
        <v>60</v>
      </c>
    </row>
    <row r="389" spans="1:20" x14ac:dyDescent="0.25">
      <c r="A389">
        <v>388</v>
      </c>
      <c r="B389" s="1" t="s">
        <v>1987</v>
      </c>
      <c r="C389" s="1"/>
      <c r="D389" s="1" t="s">
        <v>1988</v>
      </c>
      <c r="E389" s="1"/>
      <c r="F389" s="1" t="s">
        <v>1989</v>
      </c>
      <c r="G389" s="1" t="s">
        <v>713</v>
      </c>
      <c r="H389" s="1" t="s">
        <v>1990</v>
      </c>
      <c r="I389" s="1"/>
      <c r="J389" s="1" t="s">
        <v>641</v>
      </c>
      <c r="K389">
        <v>0</v>
      </c>
      <c r="L389">
        <v>0</v>
      </c>
      <c r="N389" s="21">
        <v>44415.628849618057</v>
      </c>
      <c r="O389" s="21">
        <v>44415.628849618057</v>
      </c>
      <c r="P389" s="21"/>
      <c r="Q389">
        <v>0</v>
      </c>
      <c r="T389">
        <v>60</v>
      </c>
    </row>
    <row r="390" spans="1:20" x14ac:dyDescent="0.25">
      <c r="A390">
        <v>389</v>
      </c>
      <c r="B390" s="1" t="s">
        <v>1991</v>
      </c>
      <c r="C390" s="1" t="s">
        <v>1992</v>
      </c>
      <c r="D390" s="1" t="s">
        <v>1993</v>
      </c>
      <c r="E390" s="1" t="s">
        <v>1994</v>
      </c>
      <c r="F390" s="1"/>
      <c r="G390" s="1" t="s">
        <v>713</v>
      </c>
      <c r="H390" s="1" t="s">
        <v>1995</v>
      </c>
      <c r="I390" s="1"/>
      <c r="J390" s="1" t="s">
        <v>636</v>
      </c>
      <c r="K390">
        <v>1</v>
      </c>
      <c r="L390">
        <v>0</v>
      </c>
      <c r="N390" s="21">
        <v>44415.628849618057</v>
      </c>
      <c r="O390" s="21">
        <v>44415.628849618057</v>
      </c>
      <c r="P390" s="21"/>
      <c r="Q390">
        <v>0</v>
      </c>
      <c r="T390">
        <v>60</v>
      </c>
    </row>
    <row r="391" spans="1:20" x14ac:dyDescent="0.25">
      <c r="A391">
        <v>390</v>
      </c>
      <c r="B391" s="1" t="s">
        <v>1996</v>
      </c>
      <c r="C391" s="1"/>
      <c r="D391" s="1" t="s">
        <v>1997</v>
      </c>
      <c r="E391" s="1"/>
      <c r="F391" s="1"/>
      <c r="G391" s="1"/>
      <c r="H391" s="1" t="s">
        <v>1998</v>
      </c>
      <c r="I391" s="1"/>
      <c r="J391" s="1"/>
      <c r="K391">
        <v>0</v>
      </c>
      <c r="L391">
        <v>0</v>
      </c>
      <c r="N391" s="21">
        <v>44415.628849618057</v>
      </c>
      <c r="O391" s="21">
        <v>44415.628849618057</v>
      </c>
      <c r="P391" s="21"/>
      <c r="Q391">
        <v>0</v>
      </c>
      <c r="T391">
        <v>60</v>
      </c>
    </row>
    <row r="392" spans="1:20" x14ac:dyDescent="0.25">
      <c r="A392">
        <v>391</v>
      </c>
      <c r="B392" s="1" t="s">
        <v>1999</v>
      </c>
      <c r="C392" s="1"/>
      <c r="D392" s="1" t="s">
        <v>2000</v>
      </c>
      <c r="E392" s="1"/>
      <c r="F392" s="1"/>
      <c r="G392" s="1" t="s">
        <v>713</v>
      </c>
      <c r="H392" s="1" t="s">
        <v>2001</v>
      </c>
      <c r="I392" s="1"/>
      <c r="J392" s="1" t="s">
        <v>641</v>
      </c>
      <c r="K392">
        <v>0</v>
      </c>
      <c r="L392">
        <v>0</v>
      </c>
      <c r="N392" s="21">
        <v>44415.628849618057</v>
      </c>
      <c r="O392" s="21">
        <v>44415.628849618057</v>
      </c>
      <c r="P392" s="21"/>
      <c r="Q392">
        <v>0</v>
      </c>
      <c r="T392">
        <v>60</v>
      </c>
    </row>
    <row r="393" spans="1:20" x14ac:dyDescent="0.25">
      <c r="A393">
        <v>392</v>
      </c>
      <c r="B393" s="1" t="s">
        <v>2002</v>
      </c>
      <c r="C393" s="1"/>
      <c r="D393" s="1" t="s">
        <v>2003</v>
      </c>
      <c r="E393" s="1"/>
      <c r="F393" s="1"/>
      <c r="G393" s="1" t="s">
        <v>713</v>
      </c>
      <c r="H393" s="1" t="s">
        <v>2004</v>
      </c>
      <c r="I393" s="1"/>
      <c r="J393" s="1" t="s">
        <v>636</v>
      </c>
      <c r="K393">
        <v>0</v>
      </c>
      <c r="L393">
        <v>0</v>
      </c>
      <c r="N393" s="21">
        <v>44415.628849618057</v>
      </c>
      <c r="O393" s="21">
        <v>44415.628849618057</v>
      </c>
      <c r="P393" s="21"/>
      <c r="Q393">
        <v>0</v>
      </c>
      <c r="T393">
        <v>60</v>
      </c>
    </row>
    <row r="394" spans="1:20" x14ac:dyDescent="0.25">
      <c r="A394">
        <v>393</v>
      </c>
      <c r="B394" s="1" t="s">
        <v>2005</v>
      </c>
      <c r="C394" s="1" t="s">
        <v>2006</v>
      </c>
      <c r="D394" s="1" t="s">
        <v>2007</v>
      </c>
      <c r="E394" s="1"/>
      <c r="F394" s="1"/>
      <c r="G394" s="1" t="s">
        <v>713</v>
      </c>
      <c r="H394" s="1" t="s">
        <v>2008</v>
      </c>
      <c r="I394" s="1"/>
      <c r="J394" s="1" t="s">
        <v>636</v>
      </c>
      <c r="K394">
        <v>1</v>
      </c>
      <c r="L394">
        <v>0</v>
      </c>
      <c r="N394" s="21">
        <v>44415.628849618057</v>
      </c>
      <c r="O394" s="21">
        <v>44415.628849618057</v>
      </c>
      <c r="P394" s="21"/>
      <c r="Q394">
        <v>0</v>
      </c>
      <c r="T394">
        <v>60</v>
      </c>
    </row>
    <row r="395" spans="1:20" x14ac:dyDescent="0.25">
      <c r="A395">
        <v>394</v>
      </c>
      <c r="B395" s="1" t="s">
        <v>2009</v>
      </c>
      <c r="C395" s="1"/>
      <c r="D395" s="1" t="s">
        <v>2010</v>
      </c>
      <c r="E395" s="1"/>
      <c r="F395" s="1"/>
      <c r="G395" s="1" t="s">
        <v>713</v>
      </c>
      <c r="H395" s="1" t="s">
        <v>2011</v>
      </c>
      <c r="I395" s="1"/>
      <c r="J395" s="1" t="s">
        <v>636</v>
      </c>
      <c r="K395">
        <v>0</v>
      </c>
      <c r="L395">
        <v>0</v>
      </c>
      <c r="N395" s="21">
        <v>44415.628849618057</v>
      </c>
      <c r="O395" s="21">
        <v>44415.628849618057</v>
      </c>
      <c r="P395" s="21"/>
      <c r="Q395">
        <v>0</v>
      </c>
      <c r="T395">
        <v>60</v>
      </c>
    </row>
    <row r="396" spans="1:20" x14ac:dyDescent="0.25">
      <c r="A396">
        <v>395</v>
      </c>
      <c r="B396" s="1" t="s">
        <v>2012</v>
      </c>
      <c r="C396" s="1"/>
      <c r="D396" s="1" t="s">
        <v>2013</v>
      </c>
      <c r="E396" s="1"/>
      <c r="F396" s="1"/>
      <c r="G396" s="1"/>
      <c r="H396" s="1" t="s">
        <v>2014</v>
      </c>
      <c r="I396" s="1"/>
      <c r="J396" s="1"/>
      <c r="K396">
        <v>0</v>
      </c>
      <c r="L396">
        <v>0</v>
      </c>
      <c r="N396" s="21">
        <v>44415.628849618057</v>
      </c>
      <c r="O396" s="21">
        <v>44415.628849618057</v>
      </c>
      <c r="P396" s="21"/>
      <c r="Q396">
        <v>0</v>
      </c>
      <c r="T396">
        <v>60</v>
      </c>
    </row>
    <row r="397" spans="1:20" x14ac:dyDescent="0.25">
      <c r="A397">
        <v>396</v>
      </c>
      <c r="B397" s="1" t="s">
        <v>2015</v>
      </c>
      <c r="C397" s="1"/>
      <c r="D397" s="1" t="s">
        <v>2016</v>
      </c>
      <c r="E397" s="1"/>
      <c r="F397" s="1"/>
      <c r="G397" s="1"/>
      <c r="H397" s="1" t="s">
        <v>2017</v>
      </c>
      <c r="I397" s="1"/>
      <c r="J397" s="1"/>
      <c r="K397">
        <v>0</v>
      </c>
      <c r="L397">
        <v>0</v>
      </c>
      <c r="N397" s="21">
        <v>44415.628849618057</v>
      </c>
      <c r="O397" s="21">
        <v>44415.628849618057</v>
      </c>
      <c r="P397" s="21"/>
      <c r="Q397">
        <v>0</v>
      </c>
      <c r="T397">
        <v>60</v>
      </c>
    </row>
    <row r="398" spans="1:20" x14ac:dyDescent="0.25">
      <c r="A398">
        <v>397</v>
      </c>
      <c r="B398" s="1" t="s">
        <v>2018</v>
      </c>
      <c r="C398" s="1"/>
      <c r="D398" s="1" t="s">
        <v>2019</v>
      </c>
      <c r="E398" s="1"/>
      <c r="F398" s="1"/>
      <c r="G398" s="1"/>
      <c r="H398" s="1" t="s">
        <v>2020</v>
      </c>
      <c r="I398" s="1"/>
      <c r="J398" s="1"/>
      <c r="K398">
        <v>0</v>
      </c>
      <c r="L398">
        <v>0</v>
      </c>
      <c r="N398" s="21">
        <v>44415.628849618057</v>
      </c>
      <c r="O398" s="21">
        <v>44415.628849618057</v>
      </c>
      <c r="P398" s="21"/>
      <c r="Q398">
        <v>0</v>
      </c>
      <c r="T398">
        <v>60</v>
      </c>
    </row>
    <row r="399" spans="1:20" x14ac:dyDescent="0.25">
      <c r="A399">
        <v>398</v>
      </c>
      <c r="B399" s="1" t="s">
        <v>2021</v>
      </c>
      <c r="C399" s="1" t="s">
        <v>2022</v>
      </c>
      <c r="D399" s="1" t="s">
        <v>2023</v>
      </c>
      <c r="E399" s="1"/>
      <c r="F399" s="1"/>
      <c r="G399" s="1" t="s">
        <v>713</v>
      </c>
      <c r="H399" s="1" t="s">
        <v>2024</v>
      </c>
      <c r="I399" s="1"/>
      <c r="J399" s="1" t="s">
        <v>641</v>
      </c>
      <c r="K399">
        <v>1</v>
      </c>
      <c r="L399">
        <v>0</v>
      </c>
      <c r="N399" s="21">
        <v>44415.628849618057</v>
      </c>
      <c r="O399" s="21">
        <v>44415.628849618057</v>
      </c>
      <c r="P399" s="21"/>
      <c r="Q399">
        <v>0</v>
      </c>
      <c r="T399">
        <v>60</v>
      </c>
    </row>
    <row r="400" spans="1:20" x14ac:dyDescent="0.25">
      <c r="A400">
        <v>399</v>
      </c>
      <c r="B400" s="1" t="s">
        <v>2025</v>
      </c>
      <c r="C400" s="1" t="s">
        <v>2026</v>
      </c>
      <c r="D400" s="1" t="s">
        <v>2027</v>
      </c>
      <c r="E400" s="1"/>
      <c r="F400" s="1"/>
      <c r="G400" s="1" t="s">
        <v>713</v>
      </c>
      <c r="H400" s="1" t="s">
        <v>2028</v>
      </c>
      <c r="I400" s="1"/>
      <c r="J400" s="1" t="s">
        <v>641</v>
      </c>
      <c r="K400">
        <v>1</v>
      </c>
      <c r="L400">
        <v>0</v>
      </c>
      <c r="N400" s="21">
        <v>44415.628849618057</v>
      </c>
      <c r="O400" s="21">
        <v>44415.628849618057</v>
      </c>
      <c r="P400" s="21"/>
      <c r="Q400">
        <v>0</v>
      </c>
      <c r="T400">
        <v>60</v>
      </c>
    </row>
    <row r="401" spans="1:20" x14ac:dyDescent="0.25">
      <c r="A401">
        <v>400</v>
      </c>
      <c r="B401" s="1" t="s">
        <v>2029</v>
      </c>
      <c r="C401" s="1" t="s">
        <v>2030</v>
      </c>
      <c r="D401" s="1" t="s">
        <v>2031</v>
      </c>
      <c r="E401" s="1"/>
      <c r="F401" s="1"/>
      <c r="G401" s="1" t="s">
        <v>713</v>
      </c>
      <c r="H401" s="1" t="s">
        <v>2032</v>
      </c>
      <c r="I401" s="1"/>
      <c r="J401" s="1" t="s">
        <v>641</v>
      </c>
      <c r="K401">
        <v>1</v>
      </c>
      <c r="L401">
        <v>0</v>
      </c>
      <c r="N401" s="21">
        <v>44415.628849618057</v>
      </c>
      <c r="O401" s="21">
        <v>44415.628849618057</v>
      </c>
      <c r="P401" s="21"/>
      <c r="Q401">
        <v>0</v>
      </c>
      <c r="T401">
        <v>60</v>
      </c>
    </row>
    <row r="402" spans="1:20" x14ac:dyDescent="0.25">
      <c r="A402">
        <v>401</v>
      </c>
      <c r="B402" s="1" t="s">
        <v>2033</v>
      </c>
      <c r="C402" s="1"/>
      <c r="D402" s="1" t="s">
        <v>2034</v>
      </c>
      <c r="E402" s="1"/>
      <c r="F402" s="1"/>
      <c r="G402" s="1" t="s">
        <v>713</v>
      </c>
      <c r="H402" s="1" t="s">
        <v>2035</v>
      </c>
      <c r="I402" s="1"/>
      <c r="J402" s="1"/>
      <c r="K402">
        <v>0</v>
      </c>
      <c r="L402">
        <v>0</v>
      </c>
      <c r="N402" s="21">
        <v>44415.628849618057</v>
      </c>
      <c r="O402" s="21">
        <v>44415.628849618057</v>
      </c>
      <c r="P402" s="21"/>
      <c r="Q402">
        <v>0</v>
      </c>
      <c r="T402">
        <v>60</v>
      </c>
    </row>
    <row r="403" spans="1:20" x14ac:dyDescent="0.25">
      <c r="A403">
        <v>402</v>
      </c>
      <c r="B403" s="1" t="s">
        <v>2036</v>
      </c>
      <c r="C403" s="1"/>
      <c r="D403" s="1" t="s">
        <v>2037</v>
      </c>
      <c r="E403" s="1"/>
      <c r="F403" s="1"/>
      <c r="G403" s="1"/>
      <c r="H403" s="1" t="s">
        <v>2038</v>
      </c>
      <c r="I403" s="1"/>
      <c r="J403" s="1"/>
      <c r="K403">
        <v>0</v>
      </c>
      <c r="L403">
        <v>0</v>
      </c>
      <c r="N403" s="21">
        <v>44415.628849618057</v>
      </c>
      <c r="O403" s="21">
        <v>44415.628849618057</v>
      </c>
      <c r="P403" s="21"/>
      <c r="Q403">
        <v>0</v>
      </c>
      <c r="T403">
        <v>60</v>
      </c>
    </row>
    <row r="404" spans="1:20" x14ac:dyDescent="0.25">
      <c r="A404">
        <v>403</v>
      </c>
      <c r="B404" s="1" t="s">
        <v>2039</v>
      </c>
      <c r="C404" s="1"/>
      <c r="D404" s="1" t="s">
        <v>2040</v>
      </c>
      <c r="E404" s="1"/>
      <c r="F404" s="1"/>
      <c r="G404" s="1"/>
      <c r="H404" s="1" t="s">
        <v>2041</v>
      </c>
      <c r="I404" s="1"/>
      <c r="J404" s="1"/>
      <c r="K404">
        <v>0</v>
      </c>
      <c r="L404">
        <v>0</v>
      </c>
      <c r="N404" s="21">
        <v>44415.628849618057</v>
      </c>
      <c r="O404" s="21">
        <v>44415.628849618057</v>
      </c>
      <c r="P404" s="21"/>
      <c r="Q404">
        <v>0</v>
      </c>
      <c r="T404">
        <v>60</v>
      </c>
    </row>
    <row r="405" spans="1:20" x14ac:dyDescent="0.25">
      <c r="A405">
        <v>404</v>
      </c>
      <c r="B405" s="1" t="s">
        <v>2042</v>
      </c>
      <c r="C405" s="1"/>
      <c r="D405" s="1" t="s">
        <v>2043</v>
      </c>
      <c r="E405" s="1"/>
      <c r="F405" s="1"/>
      <c r="G405" s="1" t="s">
        <v>713</v>
      </c>
      <c r="H405" s="1" t="s">
        <v>2044</v>
      </c>
      <c r="I405" s="1"/>
      <c r="J405" s="1"/>
      <c r="K405">
        <v>0</v>
      </c>
      <c r="L405">
        <v>0</v>
      </c>
      <c r="N405" s="21">
        <v>44415.628849618057</v>
      </c>
      <c r="O405" s="21">
        <v>44415.628849618057</v>
      </c>
      <c r="P405" s="21"/>
      <c r="Q405">
        <v>0</v>
      </c>
      <c r="T405">
        <v>60</v>
      </c>
    </row>
    <row r="406" spans="1:20" x14ac:dyDescent="0.25">
      <c r="A406">
        <v>405</v>
      </c>
      <c r="B406" s="1" t="s">
        <v>2045</v>
      </c>
      <c r="C406" s="1"/>
      <c r="D406" s="1" t="s">
        <v>2046</v>
      </c>
      <c r="E406" s="1"/>
      <c r="F406" s="1"/>
      <c r="G406" s="1"/>
      <c r="H406" s="1" t="s">
        <v>2047</v>
      </c>
      <c r="I406" s="1"/>
      <c r="J406" s="1"/>
      <c r="K406">
        <v>0</v>
      </c>
      <c r="L406">
        <v>0</v>
      </c>
      <c r="N406" s="21">
        <v>44415.628849618057</v>
      </c>
      <c r="O406" s="21">
        <v>44415.628849618057</v>
      </c>
      <c r="P406" s="21"/>
      <c r="Q406">
        <v>0</v>
      </c>
      <c r="T406">
        <v>60</v>
      </c>
    </row>
    <row r="407" spans="1:20" x14ac:dyDescent="0.25">
      <c r="A407">
        <v>406</v>
      </c>
      <c r="B407" s="1" t="s">
        <v>2048</v>
      </c>
      <c r="C407" s="1"/>
      <c r="D407" s="1" t="s">
        <v>2049</v>
      </c>
      <c r="E407" s="1"/>
      <c r="F407" s="1"/>
      <c r="G407" s="1"/>
      <c r="H407" s="1" t="s">
        <v>2050</v>
      </c>
      <c r="I407" s="1"/>
      <c r="J407" s="1" t="s">
        <v>641</v>
      </c>
      <c r="K407">
        <v>0</v>
      </c>
      <c r="L407">
        <v>0</v>
      </c>
      <c r="N407" s="21">
        <v>44415.628849618057</v>
      </c>
      <c r="O407" s="21">
        <v>44415.628849618057</v>
      </c>
      <c r="P407" s="21"/>
      <c r="Q407">
        <v>0</v>
      </c>
      <c r="T407">
        <v>60</v>
      </c>
    </row>
    <row r="408" spans="1:20" x14ac:dyDescent="0.25">
      <c r="A408">
        <v>407</v>
      </c>
      <c r="B408" s="1" t="s">
        <v>2051</v>
      </c>
      <c r="C408" s="1"/>
      <c r="D408" s="1" t="s">
        <v>2052</v>
      </c>
      <c r="E408" s="1"/>
      <c r="F408" s="1"/>
      <c r="G408" s="1" t="s">
        <v>644</v>
      </c>
      <c r="H408" s="1" t="s">
        <v>2053</v>
      </c>
      <c r="I408" s="1"/>
      <c r="J408" s="1"/>
      <c r="K408">
        <v>0</v>
      </c>
      <c r="L408">
        <v>0</v>
      </c>
      <c r="N408" s="21">
        <v>44415.628849618057</v>
      </c>
      <c r="O408" s="21">
        <v>44415.628849618057</v>
      </c>
      <c r="P408" s="21"/>
      <c r="Q408">
        <v>0</v>
      </c>
      <c r="T408">
        <v>60</v>
      </c>
    </row>
    <row r="409" spans="1:20" x14ac:dyDescent="0.25">
      <c r="A409">
        <v>408</v>
      </c>
      <c r="B409" s="1" t="s">
        <v>2054</v>
      </c>
      <c r="C409" s="1"/>
      <c r="D409" s="1" t="s">
        <v>2055</v>
      </c>
      <c r="E409" s="1"/>
      <c r="F409" s="1"/>
      <c r="G409" s="1"/>
      <c r="H409" s="1" t="s">
        <v>2056</v>
      </c>
      <c r="I409" s="1"/>
      <c r="J409" s="1"/>
      <c r="K409">
        <v>0</v>
      </c>
      <c r="L409">
        <v>0</v>
      </c>
      <c r="N409" s="21">
        <v>44415.628849618057</v>
      </c>
      <c r="O409" s="21">
        <v>44415.628849618057</v>
      </c>
      <c r="P409" s="21"/>
      <c r="Q409">
        <v>0</v>
      </c>
      <c r="T409">
        <v>60</v>
      </c>
    </row>
    <row r="410" spans="1:20" x14ac:dyDescent="0.25">
      <c r="A410">
        <v>409</v>
      </c>
      <c r="B410" s="1" t="s">
        <v>2057</v>
      </c>
      <c r="C410" s="1"/>
      <c r="D410" s="1" t="s">
        <v>2058</v>
      </c>
      <c r="E410" s="1"/>
      <c r="F410" s="1"/>
      <c r="G410" s="1"/>
      <c r="H410" s="1" t="s">
        <v>2059</v>
      </c>
      <c r="I410" s="1"/>
      <c r="J410" s="1"/>
      <c r="K410">
        <v>0</v>
      </c>
      <c r="L410">
        <v>0</v>
      </c>
      <c r="N410" s="21">
        <v>44415.628849618057</v>
      </c>
      <c r="O410" s="21">
        <v>44415.628849618057</v>
      </c>
      <c r="P410" s="21"/>
      <c r="Q410">
        <v>0</v>
      </c>
      <c r="T410">
        <v>60</v>
      </c>
    </row>
    <row r="411" spans="1:20" x14ac:dyDescent="0.25">
      <c r="A411">
        <v>410</v>
      </c>
      <c r="B411" s="1" t="s">
        <v>2060</v>
      </c>
      <c r="C411" s="1"/>
      <c r="D411" s="1" t="s">
        <v>2061</v>
      </c>
      <c r="E411" s="1"/>
      <c r="F411" s="1"/>
      <c r="G411" s="1"/>
      <c r="H411" s="1" t="s">
        <v>2062</v>
      </c>
      <c r="I411" s="1"/>
      <c r="J411" s="1" t="s">
        <v>636</v>
      </c>
      <c r="K411">
        <v>0</v>
      </c>
      <c r="L411">
        <v>0</v>
      </c>
      <c r="N411" s="21">
        <v>44415.628849618057</v>
      </c>
      <c r="O411" s="21">
        <v>44415.628849618057</v>
      </c>
      <c r="P411" s="21"/>
      <c r="Q411">
        <v>0</v>
      </c>
      <c r="T411">
        <v>60</v>
      </c>
    </row>
    <row r="412" spans="1:20" x14ac:dyDescent="0.25">
      <c r="A412">
        <v>411</v>
      </c>
      <c r="B412" s="1" t="s">
        <v>2063</v>
      </c>
      <c r="C412" s="1" t="s">
        <v>2064</v>
      </c>
      <c r="D412" s="1" t="s">
        <v>2065</v>
      </c>
      <c r="E412" s="1" t="s">
        <v>2066</v>
      </c>
      <c r="F412" s="1" t="s">
        <v>2067</v>
      </c>
      <c r="G412" s="1" t="s">
        <v>713</v>
      </c>
      <c r="H412" s="1" t="s">
        <v>2068</v>
      </c>
      <c r="I412" s="1" t="s">
        <v>568</v>
      </c>
      <c r="J412" s="1" t="s">
        <v>636</v>
      </c>
      <c r="K412">
        <v>0</v>
      </c>
      <c r="L412">
        <v>1</v>
      </c>
      <c r="M412">
        <v>1513</v>
      </c>
      <c r="N412" s="21">
        <v>44415.628849618057</v>
      </c>
      <c r="O412" s="21">
        <v>44415.628849618057</v>
      </c>
      <c r="P412" s="21"/>
      <c r="Q412">
        <v>0</v>
      </c>
      <c r="T412">
        <v>60</v>
      </c>
    </row>
    <row r="413" spans="1:20" x14ac:dyDescent="0.25">
      <c r="A413">
        <v>412</v>
      </c>
      <c r="B413" s="1" t="s">
        <v>2069</v>
      </c>
      <c r="C413" s="1"/>
      <c r="D413" s="1" t="s">
        <v>2070</v>
      </c>
      <c r="E413" s="1"/>
      <c r="F413" s="1"/>
      <c r="G413" s="1" t="s">
        <v>713</v>
      </c>
      <c r="H413" s="1" t="s">
        <v>2071</v>
      </c>
      <c r="I413" s="1"/>
      <c r="J413" s="1"/>
      <c r="K413">
        <v>0</v>
      </c>
      <c r="L413">
        <v>0</v>
      </c>
      <c r="N413" s="21">
        <v>44415.628849618057</v>
      </c>
      <c r="O413" s="21">
        <v>44415.628849618057</v>
      </c>
      <c r="P413" s="21"/>
      <c r="Q413">
        <v>0</v>
      </c>
      <c r="T413">
        <v>60</v>
      </c>
    </row>
    <row r="414" spans="1:20" x14ac:dyDescent="0.25">
      <c r="A414">
        <v>413</v>
      </c>
      <c r="B414" s="1" t="s">
        <v>2072</v>
      </c>
      <c r="C414" s="1"/>
      <c r="D414" s="1" t="s">
        <v>2073</v>
      </c>
      <c r="E414" s="1"/>
      <c r="F414" s="1"/>
      <c r="G414" s="1"/>
      <c r="H414" s="1" t="s">
        <v>2074</v>
      </c>
      <c r="I414" s="1"/>
      <c r="J414" s="1"/>
      <c r="K414">
        <v>0</v>
      </c>
      <c r="L414">
        <v>0</v>
      </c>
      <c r="N414" s="21">
        <v>44415.628849618057</v>
      </c>
      <c r="O414" s="21">
        <v>44415.628849618057</v>
      </c>
      <c r="P414" s="21"/>
      <c r="Q414">
        <v>0</v>
      </c>
      <c r="T414">
        <v>60</v>
      </c>
    </row>
    <row r="415" spans="1:20" x14ac:dyDescent="0.25">
      <c r="A415">
        <v>414</v>
      </c>
      <c r="B415" s="1" t="s">
        <v>2075</v>
      </c>
      <c r="C415" s="1"/>
      <c r="D415" s="1" t="s">
        <v>2076</v>
      </c>
      <c r="E415" s="1"/>
      <c r="F415" s="1" t="s">
        <v>2077</v>
      </c>
      <c r="G415" s="1" t="s">
        <v>713</v>
      </c>
      <c r="H415" s="1" t="s">
        <v>2078</v>
      </c>
      <c r="I415" s="1"/>
      <c r="J415" s="1"/>
      <c r="K415">
        <v>0</v>
      </c>
      <c r="L415">
        <v>0</v>
      </c>
      <c r="N415" s="21">
        <v>44415.628849618057</v>
      </c>
      <c r="O415" s="21">
        <v>44415.628849618057</v>
      </c>
      <c r="P415" s="21"/>
      <c r="Q415">
        <v>0</v>
      </c>
      <c r="T415">
        <v>60</v>
      </c>
    </row>
    <row r="416" spans="1:20" x14ac:dyDescent="0.25">
      <c r="A416">
        <v>415</v>
      </c>
      <c r="B416" s="1" t="s">
        <v>2079</v>
      </c>
      <c r="C416" s="1"/>
      <c r="D416" s="1" t="s">
        <v>2080</v>
      </c>
      <c r="E416" s="1"/>
      <c r="F416" s="1" t="s">
        <v>2081</v>
      </c>
      <c r="G416" s="1" t="s">
        <v>713</v>
      </c>
      <c r="H416" s="1" t="s">
        <v>2082</v>
      </c>
      <c r="I416" s="1"/>
      <c r="J416" s="1"/>
      <c r="K416">
        <v>0</v>
      </c>
      <c r="L416">
        <v>0</v>
      </c>
      <c r="N416" s="21">
        <v>44415.628849618057</v>
      </c>
      <c r="O416" s="21">
        <v>44415.628849618057</v>
      </c>
      <c r="P416" s="21"/>
      <c r="Q416">
        <v>0</v>
      </c>
      <c r="T416">
        <v>60</v>
      </c>
    </row>
    <row r="417" spans="1:20" x14ac:dyDescent="0.25">
      <c r="A417">
        <v>416</v>
      </c>
      <c r="B417" s="1" t="s">
        <v>2083</v>
      </c>
      <c r="C417" s="1"/>
      <c r="D417" s="1" t="s">
        <v>2084</v>
      </c>
      <c r="E417" s="1"/>
      <c r="F417" s="1"/>
      <c r="G417" s="1" t="s">
        <v>713</v>
      </c>
      <c r="H417" s="1" t="s">
        <v>2085</v>
      </c>
      <c r="I417" s="1"/>
      <c r="J417" s="1"/>
      <c r="K417">
        <v>0</v>
      </c>
      <c r="L417">
        <v>0</v>
      </c>
      <c r="N417" s="21">
        <v>44415.628849618057</v>
      </c>
      <c r="O417" s="21">
        <v>44415.628849618057</v>
      </c>
      <c r="P417" s="21"/>
      <c r="Q417">
        <v>0</v>
      </c>
      <c r="T417">
        <v>60</v>
      </c>
    </row>
    <row r="418" spans="1:20" x14ac:dyDescent="0.25">
      <c r="A418">
        <v>417</v>
      </c>
      <c r="B418" s="1" t="s">
        <v>2086</v>
      </c>
      <c r="C418" s="1"/>
      <c r="D418" s="1" t="s">
        <v>2087</v>
      </c>
      <c r="E418" s="1"/>
      <c r="F418" s="1"/>
      <c r="G418" s="1" t="s">
        <v>713</v>
      </c>
      <c r="H418" s="1" t="s">
        <v>2088</v>
      </c>
      <c r="I418" s="1"/>
      <c r="J418" s="1"/>
      <c r="K418">
        <v>0</v>
      </c>
      <c r="L418">
        <v>0</v>
      </c>
      <c r="N418" s="21">
        <v>44415.628849618057</v>
      </c>
      <c r="O418" s="21">
        <v>44415.628849618057</v>
      </c>
      <c r="P418" s="21"/>
      <c r="Q418">
        <v>0</v>
      </c>
      <c r="T418">
        <v>60</v>
      </c>
    </row>
    <row r="419" spans="1:20" x14ac:dyDescent="0.25">
      <c r="A419">
        <v>418</v>
      </c>
      <c r="B419" s="1" t="s">
        <v>2089</v>
      </c>
      <c r="C419" s="1"/>
      <c r="D419" s="1" t="s">
        <v>2090</v>
      </c>
      <c r="E419" s="1"/>
      <c r="F419" s="1"/>
      <c r="G419" s="1" t="s">
        <v>713</v>
      </c>
      <c r="H419" s="1" t="s">
        <v>2091</v>
      </c>
      <c r="I419" s="1"/>
      <c r="J419" s="1" t="s">
        <v>636</v>
      </c>
      <c r="K419">
        <v>0</v>
      </c>
      <c r="L419">
        <v>0</v>
      </c>
      <c r="N419" s="21">
        <v>44415.628849618057</v>
      </c>
      <c r="O419" s="21">
        <v>44415.628849618057</v>
      </c>
      <c r="P419" s="21"/>
      <c r="Q419">
        <v>0</v>
      </c>
      <c r="T419">
        <v>60</v>
      </c>
    </row>
    <row r="420" spans="1:20" x14ac:dyDescent="0.25">
      <c r="A420">
        <v>419</v>
      </c>
      <c r="B420" s="1" t="s">
        <v>2092</v>
      </c>
      <c r="C420" s="1"/>
      <c r="D420" s="1" t="s">
        <v>2093</v>
      </c>
      <c r="E420" s="1"/>
      <c r="F420" s="1"/>
      <c r="G420" s="1" t="s">
        <v>713</v>
      </c>
      <c r="H420" s="1" t="s">
        <v>2094</v>
      </c>
      <c r="I420" s="1"/>
      <c r="J420" s="1" t="s">
        <v>636</v>
      </c>
      <c r="K420">
        <v>0</v>
      </c>
      <c r="L420">
        <v>0</v>
      </c>
      <c r="N420" s="21">
        <v>44415.628849618057</v>
      </c>
      <c r="O420" s="21">
        <v>44415.628849618057</v>
      </c>
      <c r="P420" s="21"/>
      <c r="Q420">
        <v>0</v>
      </c>
      <c r="T420">
        <v>60</v>
      </c>
    </row>
    <row r="421" spans="1:20" x14ac:dyDescent="0.25">
      <c r="A421">
        <v>420</v>
      </c>
      <c r="B421" s="1" t="s">
        <v>2095</v>
      </c>
      <c r="C421" s="1"/>
      <c r="D421" s="1" t="s">
        <v>2096</v>
      </c>
      <c r="E421" s="1"/>
      <c r="F421" s="1"/>
      <c r="G421" s="1"/>
      <c r="H421" s="1" t="s">
        <v>2097</v>
      </c>
      <c r="I421" s="1"/>
      <c r="J421" s="1"/>
      <c r="K421">
        <v>0</v>
      </c>
      <c r="L421">
        <v>0</v>
      </c>
      <c r="N421" s="21">
        <v>44415.628849618057</v>
      </c>
      <c r="O421" s="21">
        <v>44415.628849618057</v>
      </c>
      <c r="P421" s="21"/>
      <c r="Q421">
        <v>0</v>
      </c>
      <c r="T421">
        <v>60</v>
      </c>
    </row>
    <row r="422" spans="1:20" x14ac:dyDescent="0.25">
      <c r="A422">
        <v>421</v>
      </c>
      <c r="B422" s="1" t="s">
        <v>2098</v>
      </c>
      <c r="C422" s="1"/>
      <c r="D422" s="1" t="s">
        <v>2099</v>
      </c>
      <c r="E422" s="1"/>
      <c r="F422" s="1"/>
      <c r="G422" s="1" t="s">
        <v>713</v>
      </c>
      <c r="H422" s="1" t="s">
        <v>2100</v>
      </c>
      <c r="I422" s="1"/>
      <c r="J422" s="1"/>
      <c r="K422">
        <v>0</v>
      </c>
      <c r="L422">
        <v>1</v>
      </c>
      <c r="N422" s="21">
        <v>44415.628849618057</v>
      </c>
      <c r="O422" s="21">
        <v>44415.628849618057</v>
      </c>
      <c r="P422" s="21"/>
      <c r="Q422">
        <v>0</v>
      </c>
      <c r="T422">
        <v>60</v>
      </c>
    </row>
    <row r="423" spans="1:20" x14ac:dyDescent="0.25">
      <c r="A423">
        <v>422</v>
      </c>
      <c r="B423" s="1" t="s">
        <v>2101</v>
      </c>
      <c r="C423" s="1"/>
      <c r="D423" s="1" t="s">
        <v>2102</v>
      </c>
      <c r="E423" s="1"/>
      <c r="F423" s="1"/>
      <c r="G423" s="1"/>
      <c r="H423" s="1" t="s">
        <v>2103</v>
      </c>
      <c r="I423" s="1"/>
      <c r="J423" s="1"/>
      <c r="K423">
        <v>0</v>
      </c>
      <c r="L423">
        <v>0</v>
      </c>
      <c r="N423" s="21">
        <v>44415.628849618057</v>
      </c>
      <c r="O423" s="21">
        <v>44415.628849618057</v>
      </c>
      <c r="P423" s="21"/>
      <c r="Q423">
        <v>0</v>
      </c>
      <c r="T423">
        <v>60</v>
      </c>
    </row>
    <row r="424" spans="1:20" x14ac:dyDescent="0.25">
      <c r="A424">
        <v>423</v>
      </c>
      <c r="B424" s="1" t="s">
        <v>2104</v>
      </c>
      <c r="C424" s="1"/>
      <c r="D424" s="1" t="s">
        <v>2105</v>
      </c>
      <c r="E424" s="1"/>
      <c r="F424" s="1"/>
      <c r="G424" s="1"/>
      <c r="H424" s="1" t="s">
        <v>2106</v>
      </c>
      <c r="I424" s="1"/>
      <c r="J424" s="1"/>
      <c r="K424">
        <v>0</v>
      </c>
      <c r="L424">
        <v>0</v>
      </c>
      <c r="N424" s="21">
        <v>44415.628849618057</v>
      </c>
      <c r="O424" s="21">
        <v>44415.628849618057</v>
      </c>
      <c r="P424" s="21"/>
      <c r="Q424">
        <v>0</v>
      </c>
      <c r="T424">
        <v>60</v>
      </c>
    </row>
    <row r="425" spans="1:20" x14ac:dyDescent="0.25">
      <c r="A425">
        <v>424</v>
      </c>
      <c r="B425" s="1" t="s">
        <v>2107</v>
      </c>
      <c r="C425" s="1" t="s">
        <v>2108</v>
      </c>
      <c r="D425" s="1" t="s">
        <v>2109</v>
      </c>
      <c r="E425" s="1" t="s">
        <v>2107</v>
      </c>
      <c r="F425" s="1"/>
      <c r="G425" s="1" t="s">
        <v>713</v>
      </c>
      <c r="H425" s="1" t="s">
        <v>2110</v>
      </c>
      <c r="I425" s="1"/>
      <c r="J425" s="1" t="s">
        <v>636</v>
      </c>
      <c r="K425">
        <v>1</v>
      </c>
      <c r="L425">
        <v>0</v>
      </c>
      <c r="N425" s="21">
        <v>44415.628849618057</v>
      </c>
      <c r="O425" s="21">
        <v>44415.628849618057</v>
      </c>
      <c r="P425" s="21"/>
      <c r="Q425">
        <v>0</v>
      </c>
      <c r="T425">
        <v>60</v>
      </c>
    </row>
    <row r="426" spans="1:20" x14ac:dyDescent="0.25">
      <c r="A426">
        <v>425</v>
      </c>
      <c r="B426" s="1" t="s">
        <v>2111</v>
      </c>
      <c r="C426" s="1"/>
      <c r="D426" s="1" t="s">
        <v>2112</v>
      </c>
      <c r="E426" s="1"/>
      <c r="F426" s="1"/>
      <c r="G426" s="1"/>
      <c r="H426" s="1" t="s">
        <v>2113</v>
      </c>
      <c r="I426" s="1"/>
      <c r="J426" s="1"/>
      <c r="K426">
        <v>0</v>
      </c>
      <c r="L426">
        <v>0</v>
      </c>
      <c r="N426" s="21">
        <v>44415.628849618057</v>
      </c>
      <c r="O426" s="21">
        <v>44415.628849618057</v>
      </c>
      <c r="P426" s="21"/>
      <c r="Q426">
        <v>0</v>
      </c>
      <c r="T426">
        <v>60</v>
      </c>
    </row>
    <row r="427" spans="1:20" x14ac:dyDescent="0.25">
      <c r="A427">
        <v>426</v>
      </c>
      <c r="B427" s="1" t="s">
        <v>2114</v>
      </c>
      <c r="C427" s="1" t="s">
        <v>2115</v>
      </c>
      <c r="D427" s="1" t="s">
        <v>2116</v>
      </c>
      <c r="E427" s="1"/>
      <c r="F427" s="1"/>
      <c r="G427" s="1"/>
      <c r="H427" s="1" t="s">
        <v>2117</v>
      </c>
      <c r="I427" s="1"/>
      <c r="J427" s="1" t="s">
        <v>636</v>
      </c>
      <c r="K427">
        <v>1</v>
      </c>
      <c r="L427">
        <v>0</v>
      </c>
      <c r="N427" s="21">
        <v>44415.628849618057</v>
      </c>
      <c r="O427" s="21">
        <v>44415.628849618057</v>
      </c>
      <c r="P427" s="21"/>
      <c r="Q427">
        <v>0</v>
      </c>
      <c r="T427">
        <v>60</v>
      </c>
    </row>
    <row r="428" spans="1:20" x14ac:dyDescent="0.25">
      <c r="A428">
        <v>427</v>
      </c>
      <c r="B428" s="1" t="s">
        <v>2118</v>
      </c>
      <c r="C428" s="1" t="s">
        <v>2119</v>
      </c>
      <c r="D428" s="1" t="s">
        <v>2120</v>
      </c>
      <c r="E428" s="1"/>
      <c r="F428" s="1"/>
      <c r="G428" s="1" t="s">
        <v>713</v>
      </c>
      <c r="H428" s="1" t="s">
        <v>2121</v>
      </c>
      <c r="I428" s="1"/>
      <c r="J428" s="1" t="s">
        <v>636</v>
      </c>
      <c r="K428">
        <v>1</v>
      </c>
      <c r="L428">
        <v>0</v>
      </c>
      <c r="N428" s="21">
        <v>44415.628849618057</v>
      </c>
      <c r="O428" s="21">
        <v>44415.628849618057</v>
      </c>
      <c r="P428" s="21"/>
      <c r="Q428">
        <v>0</v>
      </c>
      <c r="T428">
        <v>60</v>
      </c>
    </row>
    <row r="429" spans="1:20" x14ac:dyDescent="0.25">
      <c r="A429">
        <v>428</v>
      </c>
      <c r="B429" s="1" t="s">
        <v>2122</v>
      </c>
      <c r="C429" s="1"/>
      <c r="D429" s="1" t="s">
        <v>2123</v>
      </c>
      <c r="E429" s="1"/>
      <c r="F429" s="1"/>
      <c r="G429" s="1"/>
      <c r="H429" s="1" t="s">
        <v>2124</v>
      </c>
      <c r="I429" s="1"/>
      <c r="J429" s="1"/>
      <c r="K429">
        <v>0</v>
      </c>
      <c r="L429">
        <v>0</v>
      </c>
      <c r="N429" s="21">
        <v>44415.628849618057</v>
      </c>
      <c r="O429" s="21">
        <v>44415.628849618057</v>
      </c>
      <c r="P429" s="21"/>
      <c r="Q429">
        <v>0</v>
      </c>
      <c r="T429">
        <v>60</v>
      </c>
    </row>
    <row r="430" spans="1:20" x14ac:dyDescent="0.25">
      <c r="A430">
        <v>429</v>
      </c>
      <c r="B430" s="1" t="s">
        <v>2125</v>
      </c>
      <c r="C430" s="1"/>
      <c r="D430" s="1" t="s">
        <v>2126</v>
      </c>
      <c r="E430" s="1"/>
      <c r="F430" s="1"/>
      <c r="G430" s="1"/>
      <c r="H430" s="1" t="s">
        <v>2127</v>
      </c>
      <c r="I430" s="1"/>
      <c r="J430" s="1" t="s">
        <v>636</v>
      </c>
      <c r="K430">
        <v>0</v>
      </c>
      <c r="L430">
        <v>0</v>
      </c>
      <c r="N430" s="21">
        <v>44415.628849618057</v>
      </c>
      <c r="O430" s="21">
        <v>44415.628849618057</v>
      </c>
      <c r="P430" s="21"/>
      <c r="Q430">
        <v>0</v>
      </c>
      <c r="T430">
        <v>60</v>
      </c>
    </row>
    <row r="431" spans="1:20" x14ac:dyDescent="0.25">
      <c r="A431">
        <v>430</v>
      </c>
      <c r="B431" s="1" t="s">
        <v>2128</v>
      </c>
      <c r="C431" s="1"/>
      <c r="D431" s="1" t="s">
        <v>2129</v>
      </c>
      <c r="E431" s="1"/>
      <c r="F431" s="1"/>
      <c r="G431" s="1" t="s">
        <v>713</v>
      </c>
      <c r="H431" s="1" t="s">
        <v>2130</v>
      </c>
      <c r="I431" s="1"/>
      <c r="J431" s="1"/>
      <c r="K431">
        <v>0</v>
      </c>
      <c r="L431">
        <v>0</v>
      </c>
      <c r="N431" s="21">
        <v>44415.628849618057</v>
      </c>
      <c r="O431" s="21">
        <v>44415.628849618057</v>
      </c>
      <c r="P431" s="21"/>
      <c r="Q431">
        <v>0</v>
      </c>
      <c r="T431">
        <v>60</v>
      </c>
    </row>
    <row r="432" spans="1:20" x14ac:dyDescent="0.25">
      <c r="A432">
        <v>431</v>
      </c>
      <c r="B432" s="1" t="s">
        <v>2131</v>
      </c>
      <c r="C432" s="1" t="s">
        <v>2132</v>
      </c>
      <c r="D432" s="1" t="s">
        <v>2133</v>
      </c>
      <c r="E432" s="1"/>
      <c r="F432" s="1" t="s">
        <v>2134</v>
      </c>
      <c r="G432" s="1" t="s">
        <v>713</v>
      </c>
      <c r="H432" s="1" t="s">
        <v>2135</v>
      </c>
      <c r="I432" s="1"/>
      <c r="J432" s="1" t="s">
        <v>641</v>
      </c>
      <c r="K432">
        <v>0</v>
      </c>
      <c r="L432">
        <v>1</v>
      </c>
      <c r="M432">
        <v>88</v>
      </c>
      <c r="N432" s="21">
        <v>44415.628849618057</v>
      </c>
      <c r="O432" s="21">
        <v>44415.628849618057</v>
      </c>
      <c r="P432" s="21"/>
      <c r="Q432">
        <v>0</v>
      </c>
      <c r="T432">
        <v>60</v>
      </c>
    </row>
    <row r="433" spans="1:20" x14ac:dyDescent="0.25">
      <c r="A433">
        <v>432</v>
      </c>
      <c r="B433" s="1" t="s">
        <v>2136</v>
      </c>
      <c r="C433" s="1" t="s">
        <v>2137</v>
      </c>
      <c r="D433" s="1" t="s">
        <v>2138</v>
      </c>
      <c r="E433" s="1"/>
      <c r="F433" s="1"/>
      <c r="G433" s="1"/>
      <c r="H433" s="1" t="s">
        <v>2139</v>
      </c>
      <c r="I433" s="1"/>
      <c r="J433" s="1" t="s">
        <v>636</v>
      </c>
      <c r="K433">
        <v>1</v>
      </c>
      <c r="L433">
        <v>0</v>
      </c>
      <c r="N433" s="21">
        <v>44415.628849618057</v>
      </c>
      <c r="O433" s="21">
        <v>44415.628849618057</v>
      </c>
      <c r="P433" s="21"/>
      <c r="Q433">
        <v>0</v>
      </c>
      <c r="T433">
        <v>60</v>
      </c>
    </row>
    <row r="434" spans="1:20" x14ac:dyDescent="0.25">
      <c r="A434">
        <v>433</v>
      </c>
      <c r="B434" s="1" t="s">
        <v>2140</v>
      </c>
      <c r="C434" s="1" t="s">
        <v>2141</v>
      </c>
      <c r="D434" s="1" t="s">
        <v>2142</v>
      </c>
      <c r="E434" s="1"/>
      <c r="F434" s="1"/>
      <c r="G434" s="1" t="s">
        <v>713</v>
      </c>
      <c r="H434" s="1" t="s">
        <v>2143</v>
      </c>
      <c r="I434" s="1"/>
      <c r="J434" s="1" t="s">
        <v>641</v>
      </c>
      <c r="K434">
        <v>1</v>
      </c>
      <c r="L434">
        <v>0</v>
      </c>
      <c r="N434" s="21">
        <v>44415.628849618057</v>
      </c>
      <c r="O434" s="21">
        <v>44415.628849618057</v>
      </c>
      <c r="P434" s="21"/>
      <c r="Q434">
        <v>0</v>
      </c>
      <c r="T434">
        <v>60</v>
      </c>
    </row>
    <row r="435" spans="1:20" x14ac:dyDescent="0.25">
      <c r="A435">
        <v>434</v>
      </c>
      <c r="B435" s="1" t="s">
        <v>2144</v>
      </c>
      <c r="C435" s="1" t="s">
        <v>2145</v>
      </c>
      <c r="D435" s="1" t="s">
        <v>2146</v>
      </c>
      <c r="E435" s="1"/>
      <c r="F435" s="1" t="s">
        <v>2147</v>
      </c>
      <c r="G435" s="1" t="s">
        <v>713</v>
      </c>
      <c r="H435" s="1" t="s">
        <v>2148</v>
      </c>
      <c r="I435" s="1"/>
      <c r="J435" s="1" t="s">
        <v>641</v>
      </c>
      <c r="K435">
        <v>1</v>
      </c>
      <c r="L435">
        <v>0</v>
      </c>
      <c r="N435" s="21">
        <v>44415.628849618057</v>
      </c>
      <c r="O435" s="21">
        <v>44415.628849618057</v>
      </c>
      <c r="P435" s="21"/>
      <c r="Q435">
        <v>0</v>
      </c>
      <c r="T435">
        <v>60</v>
      </c>
    </row>
    <row r="436" spans="1:20" x14ac:dyDescent="0.25">
      <c r="A436">
        <v>435</v>
      </c>
      <c r="B436" s="1" t="s">
        <v>2149</v>
      </c>
      <c r="C436" s="1"/>
      <c r="D436" s="1" t="s">
        <v>2150</v>
      </c>
      <c r="E436" s="1"/>
      <c r="F436" s="1" t="s">
        <v>2151</v>
      </c>
      <c r="G436" s="1" t="s">
        <v>713</v>
      </c>
      <c r="H436" s="1" t="s">
        <v>2152</v>
      </c>
      <c r="I436" s="1"/>
      <c r="J436" s="1"/>
      <c r="K436">
        <v>0</v>
      </c>
      <c r="L436">
        <v>0</v>
      </c>
      <c r="N436" s="21">
        <v>44415.628849618057</v>
      </c>
      <c r="O436" s="21">
        <v>44415.628849618057</v>
      </c>
      <c r="P436" s="21"/>
      <c r="Q436">
        <v>0</v>
      </c>
      <c r="T436">
        <v>60</v>
      </c>
    </row>
    <row r="437" spans="1:20" x14ac:dyDescent="0.25">
      <c r="A437">
        <v>436</v>
      </c>
      <c r="B437" s="1" t="s">
        <v>2153</v>
      </c>
      <c r="C437" s="1" t="s">
        <v>2154</v>
      </c>
      <c r="D437" s="1" t="s">
        <v>2155</v>
      </c>
      <c r="E437" s="1"/>
      <c r="F437" s="1"/>
      <c r="G437" s="1" t="s">
        <v>644</v>
      </c>
      <c r="H437" s="1" t="s">
        <v>2156</v>
      </c>
      <c r="I437" s="1"/>
      <c r="J437" s="1" t="s">
        <v>754</v>
      </c>
      <c r="K437">
        <v>1</v>
      </c>
      <c r="L437">
        <v>0</v>
      </c>
      <c r="N437" s="21">
        <v>44415.628849618057</v>
      </c>
      <c r="O437" s="21">
        <v>44415.628849618057</v>
      </c>
      <c r="P437" s="21"/>
      <c r="Q437">
        <v>0</v>
      </c>
      <c r="T437">
        <v>60</v>
      </c>
    </row>
    <row r="438" spans="1:20" x14ac:dyDescent="0.25">
      <c r="A438">
        <v>437</v>
      </c>
      <c r="B438" s="1" t="s">
        <v>2157</v>
      </c>
      <c r="C438" s="1"/>
      <c r="D438" s="1" t="s">
        <v>2158</v>
      </c>
      <c r="E438" s="1" t="s">
        <v>2159</v>
      </c>
      <c r="F438" s="1"/>
      <c r="G438" s="1" t="s">
        <v>644</v>
      </c>
      <c r="H438" s="1" t="s">
        <v>2160</v>
      </c>
      <c r="I438" s="1" t="s">
        <v>568</v>
      </c>
      <c r="J438" s="1"/>
      <c r="K438">
        <v>0</v>
      </c>
      <c r="L438">
        <v>0</v>
      </c>
      <c r="N438" s="21">
        <v>44415.628849618057</v>
      </c>
      <c r="O438" s="21">
        <v>44415.628849618057</v>
      </c>
      <c r="P438" s="21"/>
      <c r="Q438">
        <v>0</v>
      </c>
      <c r="T438">
        <v>60</v>
      </c>
    </row>
    <row r="439" spans="1:20" x14ac:dyDescent="0.25">
      <c r="A439">
        <v>438</v>
      </c>
      <c r="B439" s="1" t="s">
        <v>2161</v>
      </c>
      <c r="C439" s="1"/>
      <c r="D439" s="1" t="s">
        <v>2162</v>
      </c>
      <c r="E439" s="1"/>
      <c r="F439" s="1"/>
      <c r="G439" s="1"/>
      <c r="H439" s="1" t="s">
        <v>2163</v>
      </c>
      <c r="I439" s="1"/>
      <c r="J439" s="1"/>
      <c r="K439">
        <v>0</v>
      </c>
      <c r="L439">
        <v>0</v>
      </c>
      <c r="N439" s="21">
        <v>44415.628849618057</v>
      </c>
      <c r="O439" s="21">
        <v>44415.628849618057</v>
      </c>
      <c r="P439" s="21"/>
      <c r="Q439">
        <v>0</v>
      </c>
      <c r="T439">
        <v>60</v>
      </c>
    </row>
    <row r="440" spans="1:20" x14ac:dyDescent="0.25">
      <c r="A440">
        <v>439</v>
      </c>
      <c r="B440" s="1" t="s">
        <v>2164</v>
      </c>
      <c r="C440" s="1" t="s">
        <v>2165</v>
      </c>
      <c r="D440" s="1" t="s">
        <v>2166</v>
      </c>
      <c r="E440" s="1"/>
      <c r="F440" s="1"/>
      <c r="G440" s="1" t="s">
        <v>713</v>
      </c>
      <c r="H440" s="1" t="s">
        <v>2167</v>
      </c>
      <c r="I440" s="1"/>
      <c r="J440" s="1" t="s">
        <v>754</v>
      </c>
      <c r="K440">
        <v>1</v>
      </c>
      <c r="L440">
        <v>0</v>
      </c>
      <c r="N440" s="21">
        <v>44415.628849618057</v>
      </c>
      <c r="O440" s="21">
        <v>44415.628849618057</v>
      </c>
      <c r="P440" s="21"/>
      <c r="Q440">
        <v>0</v>
      </c>
      <c r="T440">
        <v>60</v>
      </c>
    </row>
    <row r="441" spans="1:20" x14ac:dyDescent="0.25">
      <c r="A441">
        <v>440</v>
      </c>
      <c r="B441" s="1" t="s">
        <v>2168</v>
      </c>
      <c r="C441" s="1"/>
      <c r="D441" s="1" t="s">
        <v>2169</v>
      </c>
      <c r="E441" s="1"/>
      <c r="F441" s="1"/>
      <c r="G441" s="1" t="s">
        <v>634</v>
      </c>
      <c r="H441" s="1" t="s">
        <v>2170</v>
      </c>
      <c r="I441" s="1"/>
      <c r="J441" s="1"/>
      <c r="K441">
        <v>0</v>
      </c>
      <c r="L441">
        <v>0</v>
      </c>
      <c r="N441" s="21">
        <v>44415.628849618057</v>
      </c>
      <c r="O441" s="21">
        <v>44415.628849618057</v>
      </c>
      <c r="P441" s="21"/>
      <c r="Q441">
        <v>0</v>
      </c>
      <c r="T441">
        <v>60</v>
      </c>
    </row>
    <row r="442" spans="1:20" x14ac:dyDescent="0.25">
      <c r="A442">
        <v>441</v>
      </c>
      <c r="B442" s="1" t="s">
        <v>2171</v>
      </c>
      <c r="C442" s="1"/>
      <c r="D442" s="1" t="s">
        <v>2172</v>
      </c>
      <c r="E442" s="1"/>
      <c r="F442" s="1"/>
      <c r="G442" s="1" t="s">
        <v>634</v>
      </c>
      <c r="H442" s="1" t="s">
        <v>2173</v>
      </c>
      <c r="I442" s="1"/>
      <c r="J442" s="1"/>
      <c r="K442">
        <v>0</v>
      </c>
      <c r="L442">
        <v>0</v>
      </c>
      <c r="N442" s="21">
        <v>44415.628849618057</v>
      </c>
      <c r="O442" s="21">
        <v>44415.628849618057</v>
      </c>
      <c r="P442" s="21"/>
      <c r="Q442">
        <v>0</v>
      </c>
      <c r="T442">
        <v>60</v>
      </c>
    </row>
    <row r="443" spans="1:20" x14ac:dyDescent="0.25">
      <c r="A443">
        <v>442</v>
      </c>
      <c r="B443" s="1" t="s">
        <v>2174</v>
      </c>
      <c r="C443" s="1"/>
      <c r="D443" s="1" t="s">
        <v>2175</v>
      </c>
      <c r="E443" s="1"/>
      <c r="F443" s="1"/>
      <c r="G443" s="1" t="s">
        <v>644</v>
      </c>
      <c r="H443" s="1" t="s">
        <v>2176</v>
      </c>
      <c r="I443" s="1"/>
      <c r="J443" s="1"/>
      <c r="K443">
        <v>0</v>
      </c>
      <c r="L443">
        <v>0</v>
      </c>
      <c r="N443" s="21">
        <v>44415.628849618057</v>
      </c>
      <c r="O443" s="21">
        <v>44415.628849618057</v>
      </c>
      <c r="P443" s="21"/>
      <c r="Q443">
        <v>0</v>
      </c>
      <c r="T443">
        <v>60</v>
      </c>
    </row>
    <row r="444" spans="1:20" x14ac:dyDescent="0.25">
      <c r="A444">
        <v>443</v>
      </c>
      <c r="B444" s="1" t="s">
        <v>2177</v>
      </c>
      <c r="C444" s="1"/>
      <c r="D444" s="1" t="s">
        <v>2178</v>
      </c>
      <c r="E444" s="1"/>
      <c r="F444" s="1"/>
      <c r="G444" s="1"/>
      <c r="H444" s="1" t="s">
        <v>2179</v>
      </c>
      <c r="I444" s="1"/>
      <c r="J444" s="1"/>
      <c r="K444">
        <v>0</v>
      </c>
      <c r="L444">
        <v>0</v>
      </c>
      <c r="N444" s="21">
        <v>44415.628849618057</v>
      </c>
      <c r="O444" s="21">
        <v>44415.628849618057</v>
      </c>
      <c r="P444" s="21"/>
      <c r="Q444">
        <v>0</v>
      </c>
      <c r="T444">
        <v>60</v>
      </c>
    </row>
    <row r="445" spans="1:20" x14ac:dyDescent="0.25">
      <c r="A445">
        <v>444</v>
      </c>
      <c r="B445" s="1" t="s">
        <v>2180</v>
      </c>
      <c r="C445" s="1" t="s">
        <v>2181</v>
      </c>
      <c r="D445" s="1" t="s">
        <v>2182</v>
      </c>
      <c r="E445" s="1" t="s">
        <v>2180</v>
      </c>
      <c r="F445" s="1"/>
      <c r="G445" s="1" t="s">
        <v>713</v>
      </c>
      <c r="H445" s="1" t="s">
        <v>2183</v>
      </c>
      <c r="I445" s="1"/>
      <c r="J445" s="1" t="s">
        <v>641</v>
      </c>
      <c r="K445">
        <v>1</v>
      </c>
      <c r="L445">
        <v>0</v>
      </c>
      <c r="N445" s="21">
        <v>44415.628849618057</v>
      </c>
      <c r="O445" s="21">
        <v>44415.628849618057</v>
      </c>
      <c r="P445" s="21"/>
      <c r="Q445">
        <v>0</v>
      </c>
      <c r="T445">
        <v>60</v>
      </c>
    </row>
    <row r="446" spans="1:20" x14ac:dyDescent="0.25">
      <c r="A446">
        <v>445</v>
      </c>
      <c r="B446" s="1" t="s">
        <v>2184</v>
      </c>
      <c r="C446" s="1" t="s">
        <v>2185</v>
      </c>
      <c r="D446" s="1" t="s">
        <v>2186</v>
      </c>
      <c r="E446" s="1"/>
      <c r="F446" s="1"/>
      <c r="G446" s="1" t="s">
        <v>713</v>
      </c>
      <c r="H446" s="1" t="s">
        <v>2187</v>
      </c>
      <c r="I446" s="1"/>
      <c r="J446" s="1" t="s">
        <v>636</v>
      </c>
      <c r="K446">
        <v>1</v>
      </c>
      <c r="L446">
        <v>0</v>
      </c>
      <c r="N446" s="21">
        <v>44415.628849618057</v>
      </c>
      <c r="O446" s="21">
        <v>44415.628849618057</v>
      </c>
      <c r="P446" s="21"/>
      <c r="Q446">
        <v>0</v>
      </c>
      <c r="T446">
        <v>60</v>
      </c>
    </row>
    <row r="447" spans="1:20" x14ac:dyDescent="0.25">
      <c r="A447">
        <v>446</v>
      </c>
      <c r="B447" s="1" t="s">
        <v>2188</v>
      </c>
      <c r="C447" s="1"/>
      <c r="D447" s="1" t="s">
        <v>2189</v>
      </c>
      <c r="E447" s="1" t="s">
        <v>2190</v>
      </c>
      <c r="F447" s="1"/>
      <c r="G447" s="1" t="s">
        <v>713</v>
      </c>
      <c r="H447" s="1" t="s">
        <v>2191</v>
      </c>
      <c r="I447" s="1"/>
      <c r="J447" s="1"/>
      <c r="K447">
        <v>0</v>
      </c>
      <c r="L447">
        <v>0</v>
      </c>
      <c r="N447" s="21">
        <v>44415.628849618057</v>
      </c>
      <c r="O447" s="21">
        <v>44415.628849618057</v>
      </c>
      <c r="P447" s="21"/>
      <c r="Q447">
        <v>0</v>
      </c>
      <c r="T447">
        <v>60</v>
      </c>
    </row>
    <row r="448" spans="1:20" x14ac:dyDescent="0.25">
      <c r="A448">
        <v>447</v>
      </c>
      <c r="B448" s="1" t="s">
        <v>2192</v>
      </c>
      <c r="C448" s="1" t="s">
        <v>2193</v>
      </c>
      <c r="D448" s="1" t="s">
        <v>2194</v>
      </c>
      <c r="E448" s="1"/>
      <c r="F448" s="1"/>
      <c r="G448" s="1" t="s">
        <v>713</v>
      </c>
      <c r="H448" s="1" t="s">
        <v>2195</v>
      </c>
      <c r="I448" s="1"/>
      <c r="J448" s="1" t="s">
        <v>636</v>
      </c>
      <c r="K448">
        <v>1</v>
      </c>
      <c r="L448">
        <v>0</v>
      </c>
      <c r="N448" s="21">
        <v>44415.628849618057</v>
      </c>
      <c r="O448" s="21">
        <v>44415.628849618057</v>
      </c>
      <c r="P448" s="21"/>
      <c r="Q448">
        <v>0</v>
      </c>
      <c r="T448">
        <v>60</v>
      </c>
    </row>
    <row r="449" spans="1:20" x14ac:dyDescent="0.25">
      <c r="A449">
        <v>448</v>
      </c>
      <c r="B449" s="1" t="s">
        <v>2196</v>
      </c>
      <c r="C449" s="1"/>
      <c r="D449" s="1" t="s">
        <v>2197</v>
      </c>
      <c r="E449" s="1"/>
      <c r="F449" s="1" t="s">
        <v>2198</v>
      </c>
      <c r="G449" s="1" t="s">
        <v>634</v>
      </c>
      <c r="H449" s="1" t="s">
        <v>2199</v>
      </c>
      <c r="I449" s="1" t="s">
        <v>568</v>
      </c>
      <c r="J449" s="1"/>
      <c r="K449">
        <v>0</v>
      </c>
      <c r="L449">
        <v>0</v>
      </c>
      <c r="N449" s="21">
        <v>44415.628849618057</v>
      </c>
      <c r="O449" s="21">
        <v>44415.628849618057</v>
      </c>
      <c r="P449" s="21"/>
      <c r="Q449">
        <v>0</v>
      </c>
      <c r="T449">
        <v>60</v>
      </c>
    </row>
    <row r="450" spans="1:20" x14ac:dyDescent="0.25">
      <c r="A450">
        <v>450</v>
      </c>
      <c r="B450" s="1" t="s">
        <v>2200</v>
      </c>
      <c r="C450" s="1" t="s">
        <v>2201</v>
      </c>
      <c r="D450" s="1" t="s">
        <v>2202</v>
      </c>
      <c r="E450" s="1"/>
      <c r="F450" s="1"/>
      <c r="G450" s="1" t="s">
        <v>634</v>
      </c>
      <c r="H450" s="1" t="s">
        <v>2203</v>
      </c>
      <c r="I450" s="1" t="s">
        <v>568</v>
      </c>
      <c r="J450" s="1" t="s">
        <v>641</v>
      </c>
      <c r="K450">
        <v>0</v>
      </c>
      <c r="L450">
        <v>1</v>
      </c>
      <c r="M450">
        <v>90</v>
      </c>
      <c r="N450" s="21">
        <v>44415.628849618057</v>
      </c>
      <c r="O450" s="21">
        <v>44415.628849618057</v>
      </c>
      <c r="P450" s="21"/>
      <c r="Q450">
        <v>0</v>
      </c>
      <c r="T450">
        <v>60</v>
      </c>
    </row>
    <row r="451" spans="1:20" x14ac:dyDescent="0.25">
      <c r="A451">
        <v>451</v>
      </c>
      <c r="B451" s="1" t="s">
        <v>2204</v>
      </c>
      <c r="C451" s="1"/>
      <c r="D451" s="1" t="s">
        <v>2205</v>
      </c>
      <c r="E451" s="1"/>
      <c r="F451" s="1"/>
      <c r="G451" s="1" t="s">
        <v>634</v>
      </c>
      <c r="H451" s="1" t="s">
        <v>2206</v>
      </c>
      <c r="I451" s="1" t="s">
        <v>568</v>
      </c>
      <c r="J451" s="1" t="s">
        <v>641</v>
      </c>
      <c r="K451">
        <v>0</v>
      </c>
      <c r="L451">
        <v>0</v>
      </c>
      <c r="N451" s="21">
        <v>44415.628849618057</v>
      </c>
      <c r="O451" s="21">
        <v>44415.628849618057</v>
      </c>
      <c r="P451" s="21"/>
      <c r="Q451">
        <v>0</v>
      </c>
      <c r="T451">
        <v>60</v>
      </c>
    </row>
    <row r="452" spans="1:20" x14ac:dyDescent="0.25">
      <c r="A452">
        <v>452</v>
      </c>
      <c r="B452" s="1" t="s">
        <v>2207</v>
      </c>
      <c r="C452" s="1"/>
      <c r="D452" s="1" t="s">
        <v>2208</v>
      </c>
      <c r="E452" s="1"/>
      <c r="F452" s="1"/>
      <c r="G452" s="1" t="s">
        <v>644</v>
      </c>
      <c r="H452" s="1" t="s">
        <v>2209</v>
      </c>
      <c r="I452" s="1" t="s">
        <v>1163</v>
      </c>
      <c r="J452" s="1" t="s">
        <v>641</v>
      </c>
      <c r="K452">
        <v>0</v>
      </c>
      <c r="L452">
        <v>0</v>
      </c>
      <c r="N452" s="21">
        <v>44415.628849618057</v>
      </c>
      <c r="O452" s="21">
        <v>44415.628849618057</v>
      </c>
      <c r="P452" s="21"/>
      <c r="Q452">
        <v>0</v>
      </c>
      <c r="T452">
        <v>60</v>
      </c>
    </row>
    <row r="453" spans="1:20" x14ac:dyDescent="0.25">
      <c r="A453">
        <v>453</v>
      </c>
      <c r="B453" s="1" t="s">
        <v>2210</v>
      </c>
      <c r="C453" s="1" t="s">
        <v>2211</v>
      </c>
      <c r="D453" s="1" t="s">
        <v>2212</v>
      </c>
      <c r="E453" s="1"/>
      <c r="F453" s="1"/>
      <c r="G453" s="1" t="s">
        <v>644</v>
      </c>
      <c r="H453" s="1" t="s">
        <v>2213</v>
      </c>
      <c r="I453" s="1" t="s">
        <v>753</v>
      </c>
      <c r="J453" s="1" t="s">
        <v>641</v>
      </c>
      <c r="K453">
        <v>0</v>
      </c>
      <c r="L453">
        <v>1</v>
      </c>
      <c r="M453">
        <v>5582</v>
      </c>
      <c r="N453" s="21">
        <v>44415.628849618057</v>
      </c>
      <c r="O453" s="21">
        <v>44415.628849618057</v>
      </c>
      <c r="P453" s="21"/>
      <c r="Q453">
        <v>0</v>
      </c>
      <c r="T453">
        <v>60</v>
      </c>
    </row>
    <row r="454" spans="1:20" x14ac:dyDescent="0.25">
      <c r="A454">
        <v>454</v>
      </c>
      <c r="B454" s="1" t="s">
        <v>2214</v>
      </c>
      <c r="C454" s="1" t="s">
        <v>2215</v>
      </c>
      <c r="D454" s="1" t="s">
        <v>2216</v>
      </c>
      <c r="E454" s="1"/>
      <c r="F454" s="1"/>
      <c r="G454" s="1" t="s">
        <v>634</v>
      </c>
      <c r="H454" s="1" t="s">
        <v>2217</v>
      </c>
      <c r="I454" s="1" t="s">
        <v>568</v>
      </c>
      <c r="J454" s="1" t="s">
        <v>641</v>
      </c>
      <c r="K454">
        <v>0</v>
      </c>
      <c r="L454">
        <v>1</v>
      </c>
      <c r="M454">
        <v>4109</v>
      </c>
      <c r="N454" s="21">
        <v>44415.628849618057</v>
      </c>
      <c r="O454" s="21">
        <v>44415.628849618057</v>
      </c>
      <c r="P454" s="21"/>
      <c r="Q454">
        <v>0</v>
      </c>
      <c r="T454">
        <v>60</v>
      </c>
    </row>
    <row r="455" spans="1:20" x14ac:dyDescent="0.25">
      <c r="A455">
        <v>455</v>
      </c>
      <c r="B455" s="1" t="s">
        <v>2218</v>
      </c>
      <c r="C455" s="1" t="s">
        <v>2219</v>
      </c>
      <c r="D455" s="1" t="s">
        <v>2220</v>
      </c>
      <c r="E455" s="1"/>
      <c r="F455" s="1"/>
      <c r="G455" s="1"/>
      <c r="H455" s="1" t="s">
        <v>2221</v>
      </c>
      <c r="I455" s="1"/>
      <c r="J455" s="1" t="s">
        <v>636</v>
      </c>
      <c r="K455">
        <v>1</v>
      </c>
      <c r="L455">
        <v>0</v>
      </c>
      <c r="N455" s="21">
        <v>44415.628849618057</v>
      </c>
      <c r="O455" s="21">
        <v>44415.628849618057</v>
      </c>
      <c r="P455" s="21"/>
      <c r="Q455">
        <v>0</v>
      </c>
      <c r="T455">
        <v>60</v>
      </c>
    </row>
    <row r="456" spans="1:20" x14ac:dyDescent="0.25">
      <c r="A456">
        <v>456</v>
      </c>
      <c r="B456" s="1" t="s">
        <v>2222</v>
      </c>
      <c r="C456" s="1"/>
      <c r="D456" s="1" t="s">
        <v>2223</v>
      </c>
      <c r="E456" s="1"/>
      <c r="F456" s="1"/>
      <c r="G456" s="1"/>
      <c r="H456" s="1" t="s">
        <v>2224</v>
      </c>
      <c r="I456" s="1"/>
      <c r="J456" s="1"/>
      <c r="K456">
        <v>0</v>
      </c>
      <c r="L456">
        <v>0</v>
      </c>
      <c r="N456" s="21">
        <v>44415.628849618057</v>
      </c>
      <c r="O456" s="21">
        <v>44415.628849618057</v>
      </c>
      <c r="P456" s="21"/>
      <c r="Q456">
        <v>0</v>
      </c>
      <c r="T456">
        <v>60</v>
      </c>
    </row>
    <row r="457" spans="1:20" x14ac:dyDescent="0.25">
      <c r="A457">
        <v>457</v>
      </c>
      <c r="B457" s="1" t="s">
        <v>2225</v>
      </c>
      <c r="C457" s="1"/>
      <c r="D457" s="1" t="s">
        <v>2226</v>
      </c>
      <c r="E457" s="1"/>
      <c r="F457" s="1"/>
      <c r="G457" s="1" t="s">
        <v>644</v>
      </c>
      <c r="H457" s="1" t="s">
        <v>2227</v>
      </c>
      <c r="I457" s="1"/>
      <c r="J457" s="1"/>
      <c r="K457">
        <v>0</v>
      </c>
      <c r="L457">
        <v>0</v>
      </c>
      <c r="N457" s="21">
        <v>44415.628849618057</v>
      </c>
      <c r="O457" s="21">
        <v>44415.628849618057</v>
      </c>
      <c r="P457" s="21"/>
      <c r="Q457">
        <v>0</v>
      </c>
      <c r="T457">
        <v>60</v>
      </c>
    </row>
    <row r="458" spans="1:20" x14ac:dyDescent="0.25">
      <c r="A458">
        <v>458</v>
      </c>
      <c r="B458" s="1" t="s">
        <v>2228</v>
      </c>
      <c r="C458" s="1" t="s">
        <v>2229</v>
      </c>
      <c r="D458" s="1" t="s">
        <v>2230</v>
      </c>
      <c r="E458" s="1"/>
      <c r="F458" s="1"/>
      <c r="G458" s="1" t="s">
        <v>634</v>
      </c>
      <c r="H458" s="1" t="s">
        <v>2231</v>
      </c>
      <c r="I458" s="1" t="s">
        <v>568</v>
      </c>
      <c r="J458" s="1" t="s">
        <v>641</v>
      </c>
      <c r="K458">
        <v>0</v>
      </c>
      <c r="L458">
        <v>1</v>
      </c>
      <c r="M458">
        <v>80</v>
      </c>
      <c r="N458" s="21">
        <v>44415.628849618057</v>
      </c>
      <c r="O458" s="21">
        <v>44415.628849618057</v>
      </c>
      <c r="P458" s="21"/>
      <c r="Q458">
        <v>0</v>
      </c>
      <c r="T458">
        <v>60</v>
      </c>
    </row>
    <row r="459" spans="1:20" x14ac:dyDescent="0.25">
      <c r="A459">
        <v>459</v>
      </c>
      <c r="B459" s="1" t="s">
        <v>2232</v>
      </c>
      <c r="C459" s="1"/>
      <c r="D459" s="1" t="s">
        <v>2233</v>
      </c>
      <c r="E459" s="1"/>
      <c r="F459" s="1"/>
      <c r="G459" s="1" t="s">
        <v>634</v>
      </c>
      <c r="H459" s="1" t="s">
        <v>2234</v>
      </c>
      <c r="I459" s="1" t="s">
        <v>568</v>
      </c>
      <c r="J459" s="1" t="s">
        <v>636</v>
      </c>
      <c r="K459">
        <v>0</v>
      </c>
      <c r="L459">
        <v>0</v>
      </c>
      <c r="N459" s="21">
        <v>44415.628849618057</v>
      </c>
      <c r="O459" s="21">
        <v>44415.628849618057</v>
      </c>
      <c r="P459" s="21"/>
      <c r="Q459">
        <v>0</v>
      </c>
      <c r="T459">
        <v>60</v>
      </c>
    </row>
    <row r="460" spans="1:20" x14ac:dyDescent="0.25">
      <c r="A460">
        <v>460</v>
      </c>
      <c r="B460" s="1" t="s">
        <v>2235</v>
      </c>
      <c r="C460" s="1" t="s">
        <v>2236</v>
      </c>
      <c r="D460" s="1" t="s">
        <v>2237</v>
      </c>
      <c r="E460" s="1" t="s">
        <v>2238</v>
      </c>
      <c r="F460" s="1"/>
      <c r="G460" s="1" t="s">
        <v>644</v>
      </c>
      <c r="H460" s="1" t="s">
        <v>2239</v>
      </c>
      <c r="I460" s="1" t="s">
        <v>568</v>
      </c>
      <c r="J460" s="1" t="s">
        <v>636</v>
      </c>
      <c r="K460">
        <v>0</v>
      </c>
      <c r="L460">
        <v>1</v>
      </c>
      <c r="M460">
        <v>92</v>
      </c>
      <c r="N460" s="21">
        <v>44415.628849618057</v>
      </c>
      <c r="O460" s="21">
        <v>44415.628849618057</v>
      </c>
      <c r="P460" s="21"/>
      <c r="Q460">
        <v>0</v>
      </c>
      <c r="T460">
        <v>60</v>
      </c>
    </row>
    <row r="461" spans="1:20" x14ac:dyDescent="0.25">
      <c r="A461">
        <v>461</v>
      </c>
      <c r="B461" s="1" t="s">
        <v>2240</v>
      </c>
      <c r="C461" s="1"/>
      <c r="D461" s="1" t="s">
        <v>2241</v>
      </c>
      <c r="E461" s="1"/>
      <c r="F461" s="1"/>
      <c r="G461" s="1" t="s">
        <v>634</v>
      </c>
      <c r="H461" s="1" t="s">
        <v>2242</v>
      </c>
      <c r="I461" s="1" t="s">
        <v>995</v>
      </c>
      <c r="J461" s="1" t="s">
        <v>641</v>
      </c>
      <c r="K461">
        <v>0</v>
      </c>
      <c r="L461">
        <v>0</v>
      </c>
      <c r="N461" s="21">
        <v>44415.628849618057</v>
      </c>
      <c r="O461" s="21">
        <v>44415.628849618057</v>
      </c>
      <c r="P461" s="21"/>
      <c r="Q461">
        <v>0</v>
      </c>
      <c r="T461">
        <v>60</v>
      </c>
    </row>
    <row r="462" spans="1:20" x14ac:dyDescent="0.25">
      <c r="A462">
        <v>462</v>
      </c>
      <c r="B462" s="1" t="s">
        <v>2243</v>
      </c>
      <c r="C462" s="1"/>
      <c r="D462" s="1" t="s">
        <v>2244</v>
      </c>
      <c r="E462" s="1"/>
      <c r="F462" s="1"/>
      <c r="G462" s="1" t="s">
        <v>634</v>
      </c>
      <c r="H462" s="1" t="s">
        <v>2245</v>
      </c>
      <c r="I462" s="1" t="s">
        <v>568</v>
      </c>
      <c r="J462" s="1" t="s">
        <v>636</v>
      </c>
      <c r="K462">
        <v>0</v>
      </c>
      <c r="L462">
        <v>0</v>
      </c>
      <c r="N462" s="21">
        <v>44415.628849618057</v>
      </c>
      <c r="O462" s="21">
        <v>44415.628849618057</v>
      </c>
      <c r="P462" s="21"/>
      <c r="Q462">
        <v>0</v>
      </c>
      <c r="T462">
        <v>60</v>
      </c>
    </row>
    <row r="463" spans="1:20" x14ac:dyDescent="0.25">
      <c r="A463">
        <v>463</v>
      </c>
      <c r="B463" s="1" t="s">
        <v>2246</v>
      </c>
      <c r="C463" s="1"/>
      <c r="D463" s="1" t="s">
        <v>2247</v>
      </c>
      <c r="E463" s="1"/>
      <c r="F463" s="1"/>
      <c r="G463" s="1" t="s">
        <v>713</v>
      </c>
      <c r="H463" s="1" t="s">
        <v>2248</v>
      </c>
      <c r="I463" s="1"/>
      <c r="J463" s="1"/>
      <c r="K463">
        <v>0</v>
      </c>
      <c r="L463">
        <v>0</v>
      </c>
      <c r="N463" s="21">
        <v>44415.628849618057</v>
      </c>
      <c r="O463" s="21">
        <v>44415.628849618057</v>
      </c>
      <c r="P463" s="21"/>
      <c r="Q463">
        <v>0</v>
      </c>
      <c r="T463">
        <v>60</v>
      </c>
    </row>
    <row r="464" spans="1:20" x14ac:dyDescent="0.25">
      <c r="A464">
        <v>464</v>
      </c>
      <c r="B464" s="1" t="s">
        <v>2249</v>
      </c>
      <c r="C464" s="1"/>
      <c r="D464" s="1" t="s">
        <v>2250</v>
      </c>
      <c r="E464" s="1"/>
      <c r="F464" s="1"/>
      <c r="G464" s="1" t="s">
        <v>634</v>
      </c>
      <c r="H464" s="1" t="s">
        <v>2251</v>
      </c>
      <c r="I464" s="1" t="s">
        <v>568</v>
      </c>
      <c r="J464" s="1" t="s">
        <v>636</v>
      </c>
      <c r="K464">
        <v>0</v>
      </c>
      <c r="L464">
        <v>0</v>
      </c>
      <c r="N464" s="21">
        <v>44415.628849618057</v>
      </c>
      <c r="O464" s="21">
        <v>44415.628849618057</v>
      </c>
      <c r="P464" s="21"/>
      <c r="Q464">
        <v>0</v>
      </c>
      <c r="T464">
        <v>60</v>
      </c>
    </row>
    <row r="465" spans="1:20" x14ac:dyDescent="0.25">
      <c r="A465">
        <v>465</v>
      </c>
      <c r="B465" s="1" t="s">
        <v>2252</v>
      </c>
      <c r="C465" s="1" t="s">
        <v>2253</v>
      </c>
      <c r="D465" s="1" t="s">
        <v>2254</v>
      </c>
      <c r="E465" s="1"/>
      <c r="F465" s="1"/>
      <c r="G465" s="1" t="s">
        <v>634</v>
      </c>
      <c r="H465" s="1" t="s">
        <v>2255</v>
      </c>
      <c r="I465" s="1" t="s">
        <v>568</v>
      </c>
      <c r="J465" s="1" t="s">
        <v>636</v>
      </c>
      <c r="K465">
        <v>0</v>
      </c>
      <c r="L465">
        <v>1</v>
      </c>
      <c r="M465">
        <v>5150</v>
      </c>
      <c r="N465" s="21">
        <v>44415.628849618057</v>
      </c>
      <c r="O465" s="21">
        <v>44415.628849618057</v>
      </c>
      <c r="P465" s="21"/>
      <c r="Q465">
        <v>0</v>
      </c>
      <c r="T465">
        <v>60</v>
      </c>
    </row>
    <row r="466" spans="1:20" x14ac:dyDescent="0.25">
      <c r="A466">
        <v>466</v>
      </c>
      <c r="B466" s="1" t="s">
        <v>2256</v>
      </c>
      <c r="C466" s="1" t="s">
        <v>2257</v>
      </c>
      <c r="D466" s="1" t="s">
        <v>2258</v>
      </c>
      <c r="E466" s="1"/>
      <c r="F466" s="1"/>
      <c r="G466" s="1" t="s">
        <v>634</v>
      </c>
      <c r="H466" s="1" t="s">
        <v>2259</v>
      </c>
      <c r="I466" s="1" t="s">
        <v>568</v>
      </c>
      <c r="J466" s="1" t="s">
        <v>641</v>
      </c>
      <c r="K466">
        <v>0</v>
      </c>
      <c r="L466">
        <v>1</v>
      </c>
      <c r="M466">
        <v>74</v>
      </c>
      <c r="N466" s="21">
        <v>44415.628849618057</v>
      </c>
      <c r="O466" s="21">
        <v>44415.628849618057</v>
      </c>
      <c r="P466" s="21"/>
      <c r="Q466">
        <v>0</v>
      </c>
      <c r="T466">
        <v>60</v>
      </c>
    </row>
    <row r="467" spans="1:20" x14ac:dyDescent="0.25">
      <c r="A467">
        <v>467</v>
      </c>
      <c r="B467" s="1" t="s">
        <v>2260</v>
      </c>
      <c r="C467" s="1" t="s">
        <v>2261</v>
      </c>
      <c r="D467" s="1" t="s">
        <v>2262</v>
      </c>
      <c r="E467" s="1"/>
      <c r="F467" s="1"/>
      <c r="G467" s="1" t="s">
        <v>644</v>
      </c>
      <c r="H467" s="1" t="s">
        <v>2263</v>
      </c>
      <c r="I467" s="1" t="s">
        <v>995</v>
      </c>
      <c r="J467" s="1" t="s">
        <v>2264</v>
      </c>
      <c r="K467">
        <v>0</v>
      </c>
      <c r="L467">
        <v>1</v>
      </c>
      <c r="M467">
        <v>122</v>
      </c>
      <c r="N467" s="21">
        <v>44415.628849618057</v>
      </c>
      <c r="O467" s="21">
        <v>44415.628849618057</v>
      </c>
      <c r="P467" s="21"/>
      <c r="Q467">
        <v>0</v>
      </c>
      <c r="T467">
        <v>60</v>
      </c>
    </row>
    <row r="468" spans="1:20" x14ac:dyDescent="0.25">
      <c r="A468">
        <v>468</v>
      </c>
      <c r="B468" s="1" t="s">
        <v>2265</v>
      </c>
      <c r="C468" s="1" t="s">
        <v>2266</v>
      </c>
      <c r="D468" s="1" t="s">
        <v>2267</v>
      </c>
      <c r="E468" s="1"/>
      <c r="F468" s="1" t="s">
        <v>2268</v>
      </c>
      <c r="G468" s="1" t="s">
        <v>713</v>
      </c>
      <c r="H468" s="1" t="s">
        <v>2269</v>
      </c>
      <c r="I468" s="1" t="s">
        <v>568</v>
      </c>
      <c r="J468" s="1" t="s">
        <v>641</v>
      </c>
      <c r="K468">
        <v>1</v>
      </c>
      <c r="L468">
        <v>0</v>
      </c>
      <c r="N468" s="21">
        <v>44415.628849618057</v>
      </c>
      <c r="O468" s="21">
        <v>44415.628849618057</v>
      </c>
      <c r="P468" s="21"/>
      <c r="Q468">
        <v>0</v>
      </c>
      <c r="T468">
        <v>60</v>
      </c>
    </row>
    <row r="469" spans="1:20" x14ac:dyDescent="0.25">
      <c r="A469">
        <v>469</v>
      </c>
      <c r="B469" s="1" t="s">
        <v>2270</v>
      </c>
      <c r="C469" s="1"/>
      <c r="D469" s="1" t="s">
        <v>2271</v>
      </c>
      <c r="E469" s="1"/>
      <c r="F469" s="1"/>
      <c r="G469" s="1" t="s">
        <v>713</v>
      </c>
      <c r="H469" s="1" t="s">
        <v>2272</v>
      </c>
      <c r="I469" s="1"/>
      <c r="J469" s="1"/>
      <c r="K469">
        <v>0</v>
      </c>
      <c r="L469">
        <v>0</v>
      </c>
      <c r="N469" s="21">
        <v>44415.628849618057</v>
      </c>
      <c r="O469" s="21">
        <v>44415.628849618057</v>
      </c>
      <c r="P469" s="21"/>
      <c r="Q469">
        <v>0</v>
      </c>
      <c r="T469">
        <v>60</v>
      </c>
    </row>
    <row r="470" spans="1:20" x14ac:dyDescent="0.25">
      <c r="A470">
        <v>470</v>
      </c>
      <c r="B470" s="1" t="s">
        <v>2273</v>
      </c>
      <c r="C470" s="1"/>
      <c r="D470" s="1" t="s">
        <v>2274</v>
      </c>
      <c r="E470" s="1"/>
      <c r="F470" s="1"/>
      <c r="G470" s="1"/>
      <c r="H470" s="1" t="s">
        <v>2275</v>
      </c>
      <c r="I470" s="1"/>
      <c r="J470" s="1"/>
      <c r="K470">
        <v>0</v>
      </c>
      <c r="L470">
        <v>0</v>
      </c>
      <c r="N470" s="21">
        <v>44415.628849618057</v>
      </c>
      <c r="O470" s="21">
        <v>44415.628849618057</v>
      </c>
      <c r="P470" s="21"/>
      <c r="Q470">
        <v>0</v>
      </c>
      <c r="T470">
        <v>60</v>
      </c>
    </row>
    <row r="471" spans="1:20" x14ac:dyDescent="0.25">
      <c r="A471">
        <v>471</v>
      </c>
      <c r="B471" s="1" t="s">
        <v>2276</v>
      </c>
      <c r="C471" s="1"/>
      <c r="D471" s="1" t="s">
        <v>2277</v>
      </c>
      <c r="E471" s="1"/>
      <c r="F471" s="1"/>
      <c r="G471" s="1" t="s">
        <v>713</v>
      </c>
      <c r="H471" s="1" t="s">
        <v>2278</v>
      </c>
      <c r="I471" s="1"/>
      <c r="J471" s="1"/>
      <c r="K471">
        <v>0</v>
      </c>
      <c r="L471">
        <v>0</v>
      </c>
      <c r="N471" s="21">
        <v>44415.628849618057</v>
      </c>
      <c r="O471" s="21">
        <v>44415.628849618057</v>
      </c>
      <c r="P471" s="21"/>
      <c r="Q471">
        <v>0</v>
      </c>
      <c r="T471">
        <v>60</v>
      </c>
    </row>
    <row r="472" spans="1:20" x14ac:dyDescent="0.25">
      <c r="A472">
        <v>472</v>
      </c>
      <c r="B472" s="1" t="s">
        <v>2279</v>
      </c>
      <c r="C472" s="1" t="s">
        <v>2280</v>
      </c>
      <c r="D472" s="1" t="s">
        <v>2281</v>
      </c>
      <c r="E472" s="1"/>
      <c r="F472" s="1"/>
      <c r="G472" s="1" t="s">
        <v>713</v>
      </c>
      <c r="H472" s="1" t="s">
        <v>2282</v>
      </c>
      <c r="I472" s="1"/>
      <c r="J472" s="1" t="s">
        <v>636</v>
      </c>
      <c r="K472">
        <v>1</v>
      </c>
      <c r="L472">
        <v>0</v>
      </c>
      <c r="N472" s="21">
        <v>44415.628849618057</v>
      </c>
      <c r="O472" s="21">
        <v>44415.628849618057</v>
      </c>
      <c r="P472" s="21"/>
      <c r="Q472">
        <v>0</v>
      </c>
      <c r="T472">
        <v>60</v>
      </c>
    </row>
    <row r="473" spans="1:20" x14ac:dyDescent="0.25">
      <c r="A473">
        <v>473</v>
      </c>
      <c r="B473" s="1" t="s">
        <v>2283</v>
      </c>
      <c r="C473" s="1"/>
      <c r="D473" s="1" t="s">
        <v>2284</v>
      </c>
      <c r="E473" s="1"/>
      <c r="F473" s="1"/>
      <c r="G473" s="1"/>
      <c r="H473" s="1" t="s">
        <v>2285</v>
      </c>
      <c r="I473" s="1"/>
      <c r="J473" s="1"/>
      <c r="K473">
        <v>0</v>
      </c>
      <c r="L473">
        <v>0</v>
      </c>
      <c r="N473" s="21">
        <v>44415.628849618057</v>
      </c>
      <c r="O473" s="21">
        <v>44415.628849618057</v>
      </c>
      <c r="P473" s="21"/>
      <c r="Q473">
        <v>0</v>
      </c>
      <c r="T473">
        <v>60</v>
      </c>
    </row>
    <row r="474" spans="1:20" x14ac:dyDescent="0.25">
      <c r="A474">
        <v>474</v>
      </c>
      <c r="B474" s="1" t="s">
        <v>2286</v>
      </c>
      <c r="C474" s="1"/>
      <c r="D474" s="1" t="s">
        <v>2287</v>
      </c>
      <c r="E474" s="1"/>
      <c r="F474" s="1"/>
      <c r="G474" s="1"/>
      <c r="H474" s="1" t="s">
        <v>2288</v>
      </c>
      <c r="I474" s="1"/>
      <c r="J474" s="1"/>
      <c r="K474">
        <v>0</v>
      </c>
      <c r="L474">
        <v>0</v>
      </c>
      <c r="N474" s="21">
        <v>44415.628849618057</v>
      </c>
      <c r="O474" s="21">
        <v>44415.628849618057</v>
      </c>
      <c r="P474" s="21"/>
      <c r="Q474">
        <v>0</v>
      </c>
      <c r="T474">
        <v>60</v>
      </c>
    </row>
    <row r="475" spans="1:20" x14ac:dyDescent="0.25">
      <c r="A475">
        <v>475</v>
      </c>
      <c r="B475" s="1" t="s">
        <v>2289</v>
      </c>
      <c r="C475" s="1"/>
      <c r="D475" s="1" t="s">
        <v>2290</v>
      </c>
      <c r="E475" s="1"/>
      <c r="F475" s="1"/>
      <c r="G475" s="1"/>
      <c r="H475" s="1" t="s">
        <v>2291</v>
      </c>
      <c r="I475" s="1"/>
      <c r="J475" s="1"/>
      <c r="K475">
        <v>0</v>
      </c>
      <c r="L475">
        <v>0</v>
      </c>
      <c r="N475" s="21">
        <v>44415.628849618057</v>
      </c>
      <c r="O475" s="21">
        <v>44415.628849618057</v>
      </c>
      <c r="P475" s="21"/>
      <c r="Q475">
        <v>0</v>
      </c>
      <c r="T475">
        <v>60</v>
      </c>
    </row>
    <row r="476" spans="1:20" x14ac:dyDescent="0.25">
      <c r="A476">
        <v>476</v>
      </c>
      <c r="B476" s="1" t="s">
        <v>2292</v>
      </c>
      <c r="C476" s="1" t="s">
        <v>2293</v>
      </c>
      <c r="D476" s="1" t="s">
        <v>2294</v>
      </c>
      <c r="E476" s="1"/>
      <c r="F476" s="1"/>
      <c r="G476" s="1" t="s">
        <v>713</v>
      </c>
      <c r="H476" s="1" t="s">
        <v>2295</v>
      </c>
      <c r="I476" s="1"/>
      <c r="J476" s="1" t="s">
        <v>636</v>
      </c>
      <c r="K476">
        <v>1</v>
      </c>
      <c r="L476">
        <v>0</v>
      </c>
      <c r="N476" s="21">
        <v>44415.628849618057</v>
      </c>
      <c r="O476" s="21">
        <v>44415.628849618057</v>
      </c>
      <c r="P476" s="21"/>
      <c r="Q476">
        <v>0</v>
      </c>
      <c r="T476">
        <v>60</v>
      </c>
    </row>
    <row r="477" spans="1:20" x14ac:dyDescent="0.25">
      <c r="A477">
        <v>477</v>
      </c>
      <c r="B477" s="1" t="s">
        <v>2296</v>
      </c>
      <c r="C477" s="1"/>
      <c r="D477" s="1" t="s">
        <v>2297</v>
      </c>
      <c r="E477" s="1"/>
      <c r="F477" s="1"/>
      <c r="G477" s="1"/>
      <c r="H477" s="1" t="s">
        <v>2298</v>
      </c>
      <c r="I477" s="1"/>
      <c r="J477" s="1"/>
      <c r="K477">
        <v>0</v>
      </c>
      <c r="L477">
        <v>0</v>
      </c>
      <c r="N477" s="21">
        <v>44415.628849618057</v>
      </c>
      <c r="O477" s="21">
        <v>44415.628849618057</v>
      </c>
      <c r="P477" s="21"/>
      <c r="Q477">
        <v>0</v>
      </c>
      <c r="T477">
        <v>60</v>
      </c>
    </row>
    <row r="478" spans="1:20" x14ac:dyDescent="0.25">
      <c r="A478">
        <v>478</v>
      </c>
      <c r="B478" s="1" t="s">
        <v>2299</v>
      </c>
      <c r="C478" s="1"/>
      <c r="D478" s="1" t="s">
        <v>2300</v>
      </c>
      <c r="E478" s="1"/>
      <c r="F478" s="1"/>
      <c r="G478" s="1"/>
      <c r="H478" s="1" t="s">
        <v>2301</v>
      </c>
      <c r="I478" s="1"/>
      <c r="J478" s="1"/>
      <c r="K478">
        <v>0</v>
      </c>
      <c r="L478">
        <v>0</v>
      </c>
      <c r="N478" s="21">
        <v>44415.628849618057</v>
      </c>
      <c r="O478" s="21">
        <v>44415.628849618057</v>
      </c>
      <c r="P478" s="21"/>
      <c r="Q478">
        <v>0</v>
      </c>
      <c r="T478">
        <v>60</v>
      </c>
    </row>
    <row r="479" spans="1:20" x14ac:dyDescent="0.25">
      <c r="A479">
        <v>479</v>
      </c>
      <c r="B479" s="1" t="s">
        <v>2302</v>
      </c>
      <c r="C479" s="1"/>
      <c r="D479" s="1" t="s">
        <v>2303</v>
      </c>
      <c r="E479" s="1"/>
      <c r="F479" s="1"/>
      <c r="G479" s="1" t="s">
        <v>713</v>
      </c>
      <c r="H479" s="1" t="s">
        <v>2304</v>
      </c>
      <c r="I479" s="1"/>
      <c r="J479" s="1"/>
      <c r="K479">
        <v>0</v>
      </c>
      <c r="L479">
        <v>0</v>
      </c>
      <c r="N479" s="21">
        <v>44415.628849618057</v>
      </c>
      <c r="O479" s="21">
        <v>44415.628849618057</v>
      </c>
      <c r="P479" s="21"/>
      <c r="Q479">
        <v>0</v>
      </c>
      <c r="T479">
        <v>60</v>
      </c>
    </row>
    <row r="480" spans="1:20" x14ac:dyDescent="0.25">
      <c r="A480">
        <v>480</v>
      </c>
      <c r="B480" s="1" t="s">
        <v>2305</v>
      </c>
      <c r="C480" s="1" t="s">
        <v>2306</v>
      </c>
      <c r="D480" s="1" t="s">
        <v>2307</v>
      </c>
      <c r="E480" s="1"/>
      <c r="F480" s="1" t="s">
        <v>2308</v>
      </c>
      <c r="G480" s="1" t="s">
        <v>713</v>
      </c>
      <c r="H480" s="1" t="s">
        <v>2309</v>
      </c>
      <c r="I480" s="1"/>
      <c r="J480" s="1" t="s">
        <v>636</v>
      </c>
      <c r="K480">
        <v>1</v>
      </c>
      <c r="L480">
        <v>0</v>
      </c>
      <c r="N480" s="21">
        <v>44415.628849618057</v>
      </c>
      <c r="O480" s="21">
        <v>44415.628849618057</v>
      </c>
      <c r="P480" s="21"/>
      <c r="Q480">
        <v>0</v>
      </c>
      <c r="T480">
        <v>60</v>
      </c>
    </row>
    <row r="481" spans="1:20" x14ac:dyDescent="0.25">
      <c r="A481">
        <v>481</v>
      </c>
      <c r="B481" s="1" t="s">
        <v>2310</v>
      </c>
      <c r="C481" s="1"/>
      <c r="D481" s="1" t="s">
        <v>2311</v>
      </c>
      <c r="E481" s="1"/>
      <c r="F481" s="1"/>
      <c r="G481" s="1" t="s">
        <v>713</v>
      </c>
      <c r="H481" s="1" t="s">
        <v>2312</v>
      </c>
      <c r="I481" s="1"/>
      <c r="J481" s="1" t="s">
        <v>636</v>
      </c>
      <c r="K481">
        <v>0</v>
      </c>
      <c r="L481">
        <v>0</v>
      </c>
      <c r="N481" s="21">
        <v>44415.628849618057</v>
      </c>
      <c r="O481" s="21">
        <v>44415.628849618057</v>
      </c>
      <c r="P481" s="21"/>
      <c r="Q481">
        <v>0</v>
      </c>
      <c r="T481">
        <v>60</v>
      </c>
    </row>
    <row r="482" spans="1:20" x14ac:dyDescent="0.25">
      <c r="A482">
        <v>482</v>
      </c>
      <c r="B482" s="1" t="s">
        <v>2313</v>
      </c>
      <c r="C482" s="1" t="s">
        <v>2314</v>
      </c>
      <c r="D482" s="1" t="s">
        <v>2315</v>
      </c>
      <c r="E482" s="1"/>
      <c r="F482" s="1"/>
      <c r="G482" s="1" t="s">
        <v>713</v>
      </c>
      <c r="H482" s="1" t="s">
        <v>2316</v>
      </c>
      <c r="I482" s="1" t="s">
        <v>782</v>
      </c>
      <c r="J482" s="1" t="s">
        <v>641</v>
      </c>
      <c r="K482">
        <v>1</v>
      </c>
      <c r="L482">
        <v>0</v>
      </c>
      <c r="N482" s="21">
        <v>44415.628849618057</v>
      </c>
      <c r="O482" s="21">
        <v>44415.628849618057</v>
      </c>
      <c r="P482" s="21"/>
      <c r="Q482">
        <v>0</v>
      </c>
      <c r="T482">
        <v>60</v>
      </c>
    </row>
    <row r="483" spans="1:20" x14ac:dyDescent="0.25">
      <c r="A483">
        <v>483</v>
      </c>
      <c r="B483" s="1" t="s">
        <v>2317</v>
      </c>
      <c r="C483" s="1"/>
      <c r="D483" s="1" t="s">
        <v>2318</v>
      </c>
      <c r="E483" s="1"/>
      <c r="F483" s="1" t="s">
        <v>2319</v>
      </c>
      <c r="G483" s="1"/>
      <c r="H483" s="1" t="s">
        <v>2320</v>
      </c>
      <c r="I483" s="1"/>
      <c r="J483" s="1"/>
      <c r="K483">
        <v>0</v>
      </c>
      <c r="L483">
        <v>0</v>
      </c>
      <c r="N483" s="21">
        <v>44415.628849618057</v>
      </c>
      <c r="O483" s="21">
        <v>44415.628849618057</v>
      </c>
      <c r="P483" s="21"/>
      <c r="Q483">
        <v>0</v>
      </c>
      <c r="T483">
        <v>60</v>
      </c>
    </row>
    <row r="484" spans="1:20" x14ac:dyDescent="0.25">
      <c r="A484">
        <v>484</v>
      </c>
      <c r="B484" s="1" t="s">
        <v>2321</v>
      </c>
      <c r="C484" s="1"/>
      <c r="D484" s="1" t="s">
        <v>2322</v>
      </c>
      <c r="E484" s="1"/>
      <c r="F484" s="1"/>
      <c r="G484" s="1"/>
      <c r="H484" s="1" t="s">
        <v>2323</v>
      </c>
      <c r="I484" s="1"/>
      <c r="J484" s="1"/>
      <c r="K484">
        <v>0</v>
      </c>
      <c r="L484">
        <v>0</v>
      </c>
      <c r="N484" s="21">
        <v>44415.628849618057</v>
      </c>
      <c r="O484" s="21">
        <v>44415.628849618057</v>
      </c>
      <c r="P484" s="21"/>
      <c r="Q484">
        <v>0</v>
      </c>
      <c r="T484">
        <v>60</v>
      </c>
    </row>
    <row r="485" spans="1:20" x14ac:dyDescent="0.25">
      <c r="A485">
        <v>485</v>
      </c>
      <c r="B485" s="1" t="s">
        <v>2324</v>
      </c>
      <c r="C485" s="1" t="s">
        <v>2325</v>
      </c>
      <c r="D485" s="1" t="s">
        <v>2326</v>
      </c>
      <c r="E485" s="1"/>
      <c r="F485" s="1"/>
      <c r="G485" s="1" t="s">
        <v>713</v>
      </c>
      <c r="H485" s="1" t="s">
        <v>2327</v>
      </c>
      <c r="I485" s="1"/>
      <c r="J485" s="1" t="s">
        <v>636</v>
      </c>
      <c r="K485">
        <v>1</v>
      </c>
      <c r="L485">
        <v>0</v>
      </c>
      <c r="N485" s="21">
        <v>44415.628849618057</v>
      </c>
      <c r="O485" s="21">
        <v>44415.628849618057</v>
      </c>
      <c r="P485" s="21"/>
      <c r="Q485">
        <v>0</v>
      </c>
      <c r="T485">
        <v>60</v>
      </c>
    </row>
    <row r="486" spans="1:20" x14ac:dyDescent="0.25">
      <c r="A486">
        <v>486</v>
      </c>
      <c r="B486" s="1" t="s">
        <v>2328</v>
      </c>
      <c r="C486" s="1"/>
      <c r="D486" s="1" t="s">
        <v>2329</v>
      </c>
      <c r="E486" s="1"/>
      <c r="F486" s="1"/>
      <c r="G486" s="1" t="s">
        <v>713</v>
      </c>
      <c r="H486" s="1" t="s">
        <v>2330</v>
      </c>
      <c r="I486" s="1"/>
      <c r="J486" s="1" t="s">
        <v>641</v>
      </c>
      <c r="K486">
        <v>0</v>
      </c>
      <c r="L486">
        <v>0</v>
      </c>
      <c r="N486" s="21">
        <v>44415.628849618057</v>
      </c>
      <c r="O486" s="21">
        <v>44415.628849618057</v>
      </c>
      <c r="P486" s="21"/>
      <c r="Q486">
        <v>0</v>
      </c>
      <c r="T486">
        <v>60</v>
      </c>
    </row>
    <row r="487" spans="1:20" x14ac:dyDescent="0.25">
      <c r="A487">
        <v>487</v>
      </c>
      <c r="B487" s="1" t="s">
        <v>2331</v>
      </c>
      <c r="C487" s="1" t="s">
        <v>2332</v>
      </c>
      <c r="D487" s="1" t="s">
        <v>2333</v>
      </c>
      <c r="E487" s="1"/>
      <c r="F487" s="1"/>
      <c r="G487" s="1"/>
      <c r="H487" s="1" t="s">
        <v>2334</v>
      </c>
      <c r="I487" s="1"/>
      <c r="J487" s="1" t="s">
        <v>636</v>
      </c>
      <c r="K487">
        <v>1</v>
      </c>
      <c r="L487">
        <v>0</v>
      </c>
      <c r="N487" s="21">
        <v>44415.628849618057</v>
      </c>
      <c r="O487" s="21">
        <v>44415.628849618057</v>
      </c>
      <c r="P487" s="21"/>
      <c r="Q487">
        <v>0</v>
      </c>
      <c r="T487">
        <v>60</v>
      </c>
    </row>
    <row r="488" spans="1:20" x14ac:dyDescent="0.25">
      <c r="A488">
        <v>488</v>
      </c>
      <c r="B488" s="1" t="s">
        <v>2335</v>
      </c>
      <c r="C488" s="1"/>
      <c r="D488" s="1" t="s">
        <v>2336</v>
      </c>
      <c r="E488" s="1"/>
      <c r="F488" s="1"/>
      <c r="G488" s="1" t="s">
        <v>713</v>
      </c>
      <c r="H488" s="1" t="s">
        <v>2337</v>
      </c>
      <c r="I488" s="1"/>
      <c r="J488" s="1"/>
      <c r="K488">
        <v>0</v>
      </c>
      <c r="L488">
        <v>0</v>
      </c>
      <c r="N488" s="21">
        <v>44415.628849618057</v>
      </c>
      <c r="O488" s="21">
        <v>44415.628849618057</v>
      </c>
      <c r="P488" s="21"/>
      <c r="Q488">
        <v>0</v>
      </c>
      <c r="T488">
        <v>60</v>
      </c>
    </row>
    <row r="489" spans="1:20" x14ac:dyDescent="0.25">
      <c r="A489">
        <v>489</v>
      </c>
      <c r="B489" s="1" t="s">
        <v>2335</v>
      </c>
      <c r="C489" s="1"/>
      <c r="D489" s="1" t="s">
        <v>2338</v>
      </c>
      <c r="E489" s="1"/>
      <c r="F489" s="1" t="s">
        <v>2339</v>
      </c>
      <c r="G489" s="1"/>
      <c r="H489" s="1" t="s">
        <v>2340</v>
      </c>
      <c r="I489" s="1"/>
      <c r="J489" s="1"/>
      <c r="K489">
        <v>0</v>
      </c>
      <c r="L489">
        <v>0</v>
      </c>
      <c r="N489" s="21">
        <v>44415.628849618057</v>
      </c>
      <c r="O489" s="21">
        <v>44415.628849618057</v>
      </c>
      <c r="P489" s="21"/>
      <c r="Q489">
        <v>0</v>
      </c>
      <c r="T489">
        <v>60</v>
      </c>
    </row>
    <row r="490" spans="1:20" x14ac:dyDescent="0.25">
      <c r="A490">
        <v>490</v>
      </c>
      <c r="B490" s="1" t="s">
        <v>2341</v>
      </c>
      <c r="C490" s="1" t="s">
        <v>2342</v>
      </c>
      <c r="D490" s="1" t="s">
        <v>2343</v>
      </c>
      <c r="E490" s="1"/>
      <c r="F490" s="1" t="s">
        <v>2344</v>
      </c>
      <c r="G490" s="1" t="s">
        <v>713</v>
      </c>
      <c r="H490" s="1" t="s">
        <v>2345</v>
      </c>
      <c r="I490" s="1"/>
      <c r="J490" s="1" t="s">
        <v>636</v>
      </c>
      <c r="K490">
        <v>0</v>
      </c>
      <c r="L490">
        <v>1</v>
      </c>
      <c r="M490">
        <v>147</v>
      </c>
      <c r="N490" s="21">
        <v>44415.628849618057</v>
      </c>
      <c r="O490" s="21">
        <v>44415.628849618057</v>
      </c>
      <c r="P490" s="21"/>
      <c r="Q490">
        <v>0</v>
      </c>
      <c r="T490">
        <v>60</v>
      </c>
    </row>
    <row r="491" spans="1:20" x14ac:dyDescent="0.25">
      <c r="A491">
        <v>491</v>
      </c>
      <c r="B491" s="1" t="s">
        <v>2346</v>
      </c>
      <c r="C491" s="1"/>
      <c r="D491" s="1" t="s">
        <v>2347</v>
      </c>
      <c r="E491" s="1"/>
      <c r="F491" s="1"/>
      <c r="G491" s="1"/>
      <c r="H491" s="1" t="s">
        <v>2348</v>
      </c>
      <c r="I491" s="1"/>
      <c r="J491" s="1" t="s">
        <v>636</v>
      </c>
      <c r="K491">
        <v>0</v>
      </c>
      <c r="L491">
        <v>0</v>
      </c>
      <c r="N491" s="21">
        <v>44415.628849618057</v>
      </c>
      <c r="O491" s="21">
        <v>44415.628849618057</v>
      </c>
      <c r="P491" s="21"/>
      <c r="Q491">
        <v>0</v>
      </c>
      <c r="T491">
        <v>60</v>
      </c>
    </row>
    <row r="492" spans="1:20" x14ac:dyDescent="0.25">
      <c r="A492">
        <v>492</v>
      </c>
      <c r="B492" s="1" t="s">
        <v>2349</v>
      </c>
      <c r="C492" s="1"/>
      <c r="D492" s="1" t="s">
        <v>2350</v>
      </c>
      <c r="E492" s="1"/>
      <c r="F492" s="1" t="s">
        <v>2351</v>
      </c>
      <c r="G492" s="1" t="s">
        <v>713</v>
      </c>
      <c r="H492" s="1" t="s">
        <v>2352</v>
      </c>
      <c r="I492" s="1"/>
      <c r="J492" s="1" t="s">
        <v>636</v>
      </c>
      <c r="K492">
        <v>0</v>
      </c>
      <c r="L492">
        <v>0</v>
      </c>
      <c r="N492" s="21">
        <v>44415.628849618057</v>
      </c>
      <c r="O492" s="21">
        <v>44415.628849618057</v>
      </c>
      <c r="P492" s="21"/>
      <c r="Q492">
        <v>0</v>
      </c>
      <c r="T492">
        <v>60</v>
      </c>
    </row>
    <row r="493" spans="1:20" x14ac:dyDescent="0.25">
      <c r="A493">
        <v>493</v>
      </c>
      <c r="B493" s="1" t="s">
        <v>2353</v>
      </c>
      <c r="C493" s="1" t="s">
        <v>2354</v>
      </c>
      <c r="D493" s="1" t="s">
        <v>2355</v>
      </c>
      <c r="E493" s="1"/>
      <c r="F493" s="1"/>
      <c r="G493" s="1" t="s">
        <v>634</v>
      </c>
      <c r="H493" s="1" t="s">
        <v>2356</v>
      </c>
      <c r="I493" s="1" t="s">
        <v>995</v>
      </c>
      <c r="J493" s="1" t="s">
        <v>641</v>
      </c>
      <c r="K493">
        <v>0</v>
      </c>
      <c r="L493">
        <v>1</v>
      </c>
      <c r="M493">
        <v>70</v>
      </c>
      <c r="N493" s="21">
        <v>44415.628849618057</v>
      </c>
      <c r="O493" s="21">
        <v>44415.628849618057</v>
      </c>
      <c r="P493" s="21"/>
      <c r="Q493">
        <v>0</v>
      </c>
      <c r="T493">
        <v>60</v>
      </c>
    </row>
    <row r="494" spans="1:20" x14ac:dyDescent="0.25">
      <c r="A494">
        <v>494</v>
      </c>
      <c r="B494" s="1" t="s">
        <v>2357</v>
      </c>
      <c r="C494" s="1" t="s">
        <v>2358</v>
      </c>
      <c r="D494" s="1" t="s">
        <v>2359</v>
      </c>
      <c r="E494" s="1"/>
      <c r="F494" s="1"/>
      <c r="G494" s="1" t="s">
        <v>713</v>
      </c>
      <c r="H494" s="1" t="s">
        <v>2360</v>
      </c>
      <c r="I494" s="1"/>
      <c r="J494" s="1" t="s">
        <v>641</v>
      </c>
      <c r="K494">
        <v>1</v>
      </c>
      <c r="L494">
        <v>1</v>
      </c>
      <c r="N494" s="21">
        <v>44415.628849618057</v>
      </c>
      <c r="O494" s="21">
        <v>44415.628849618057</v>
      </c>
      <c r="P494" s="21"/>
      <c r="Q494">
        <v>0</v>
      </c>
      <c r="T494">
        <v>60</v>
      </c>
    </row>
    <row r="495" spans="1:20" x14ac:dyDescent="0.25">
      <c r="A495">
        <v>495</v>
      </c>
      <c r="B495" s="1" t="s">
        <v>2361</v>
      </c>
      <c r="C495" s="1" t="s">
        <v>2362</v>
      </c>
      <c r="D495" s="1" t="s">
        <v>2363</v>
      </c>
      <c r="E495" s="1"/>
      <c r="F495" s="1"/>
      <c r="G495" s="1" t="s">
        <v>713</v>
      </c>
      <c r="H495" s="1" t="s">
        <v>2364</v>
      </c>
      <c r="I495" s="1"/>
      <c r="J495" s="1" t="s">
        <v>636</v>
      </c>
      <c r="K495">
        <v>1</v>
      </c>
      <c r="L495">
        <v>0</v>
      </c>
      <c r="N495" s="21">
        <v>44415.628849618057</v>
      </c>
      <c r="O495" s="21">
        <v>44415.628849618057</v>
      </c>
      <c r="P495" s="21"/>
      <c r="Q495">
        <v>0</v>
      </c>
      <c r="T495">
        <v>60</v>
      </c>
    </row>
    <row r="496" spans="1:20" x14ac:dyDescent="0.25">
      <c r="A496">
        <v>496</v>
      </c>
      <c r="B496" s="1" t="s">
        <v>2365</v>
      </c>
      <c r="C496" s="1" t="s">
        <v>2366</v>
      </c>
      <c r="D496" s="1" t="s">
        <v>2367</v>
      </c>
      <c r="E496" s="1"/>
      <c r="F496" s="1"/>
      <c r="G496" s="1"/>
      <c r="H496" s="1" t="s">
        <v>2368</v>
      </c>
      <c r="I496" s="1"/>
      <c r="J496" s="1" t="s">
        <v>641</v>
      </c>
      <c r="K496">
        <v>1</v>
      </c>
      <c r="L496">
        <v>0</v>
      </c>
      <c r="N496" s="21">
        <v>44415.628849618057</v>
      </c>
      <c r="O496" s="21">
        <v>44415.628849618057</v>
      </c>
      <c r="P496" s="21"/>
      <c r="Q496">
        <v>0</v>
      </c>
      <c r="T496">
        <v>60</v>
      </c>
    </row>
    <row r="497" spans="1:20" x14ac:dyDescent="0.25">
      <c r="A497">
        <v>497</v>
      </c>
      <c r="B497" s="1" t="s">
        <v>2369</v>
      </c>
      <c r="C497" s="1"/>
      <c r="D497" s="1" t="s">
        <v>2370</v>
      </c>
      <c r="E497" s="1"/>
      <c r="F497" s="1"/>
      <c r="G497" s="1" t="s">
        <v>644</v>
      </c>
      <c r="H497" s="1" t="s">
        <v>2371</v>
      </c>
      <c r="I497" s="1" t="s">
        <v>690</v>
      </c>
      <c r="J497" s="1" t="s">
        <v>641</v>
      </c>
      <c r="K497">
        <v>0</v>
      </c>
      <c r="L497">
        <v>0</v>
      </c>
      <c r="N497" s="21">
        <v>44415.628849618057</v>
      </c>
      <c r="O497" s="21">
        <v>44415.628849618057</v>
      </c>
      <c r="P497" s="21"/>
      <c r="Q497">
        <v>0</v>
      </c>
      <c r="T497">
        <v>60</v>
      </c>
    </row>
    <row r="498" spans="1:20" x14ac:dyDescent="0.25">
      <c r="A498">
        <v>498</v>
      </c>
      <c r="B498" s="1" t="s">
        <v>2372</v>
      </c>
      <c r="C498" s="1" t="s">
        <v>2373</v>
      </c>
      <c r="D498" s="1" t="s">
        <v>2374</v>
      </c>
      <c r="E498" s="1"/>
      <c r="F498" s="1" t="s">
        <v>2375</v>
      </c>
      <c r="G498" s="1" t="s">
        <v>713</v>
      </c>
      <c r="H498" s="1" t="s">
        <v>2376</v>
      </c>
      <c r="I498" s="1"/>
      <c r="J498" s="1" t="s">
        <v>636</v>
      </c>
      <c r="K498">
        <v>0</v>
      </c>
      <c r="L498">
        <v>1</v>
      </c>
      <c r="M498">
        <v>163</v>
      </c>
      <c r="N498" s="21">
        <v>44415.628849618057</v>
      </c>
      <c r="O498" s="21">
        <v>44415.628849618057</v>
      </c>
      <c r="P498" s="21"/>
      <c r="Q498">
        <v>0</v>
      </c>
      <c r="T498">
        <v>60</v>
      </c>
    </row>
    <row r="499" spans="1:20" x14ac:dyDescent="0.25">
      <c r="A499">
        <v>499</v>
      </c>
      <c r="B499" s="1" t="s">
        <v>2377</v>
      </c>
      <c r="C499" s="1"/>
      <c r="D499" s="1" t="s">
        <v>2378</v>
      </c>
      <c r="E499" s="1"/>
      <c r="F499" s="1"/>
      <c r="G499" s="1" t="s">
        <v>713</v>
      </c>
      <c r="H499" s="1" t="s">
        <v>2379</v>
      </c>
      <c r="I499" s="1"/>
      <c r="J499" s="1" t="s">
        <v>641</v>
      </c>
      <c r="K499">
        <v>0</v>
      </c>
      <c r="L499">
        <v>0</v>
      </c>
      <c r="N499" s="21">
        <v>44415.628849618057</v>
      </c>
      <c r="O499" s="21">
        <v>44415.628849618057</v>
      </c>
      <c r="P499" s="21"/>
      <c r="Q499">
        <v>0</v>
      </c>
      <c r="T499">
        <v>60</v>
      </c>
    </row>
    <row r="500" spans="1:20" x14ac:dyDescent="0.25">
      <c r="A500">
        <v>500</v>
      </c>
      <c r="B500" s="1" t="s">
        <v>2380</v>
      </c>
      <c r="C500" s="1"/>
      <c r="D500" s="1" t="s">
        <v>2381</v>
      </c>
      <c r="E500" s="1"/>
      <c r="F500" s="1"/>
      <c r="G500" s="1" t="s">
        <v>713</v>
      </c>
      <c r="H500" s="1" t="s">
        <v>2382</v>
      </c>
      <c r="I500" s="1"/>
      <c r="J500" s="1"/>
      <c r="K500">
        <v>0</v>
      </c>
      <c r="L500">
        <v>0</v>
      </c>
      <c r="N500" s="21">
        <v>44415.628849618057</v>
      </c>
      <c r="O500" s="21">
        <v>44415.628849618057</v>
      </c>
      <c r="P500" s="21"/>
      <c r="Q500">
        <v>0</v>
      </c>
      <c r="T500">
        <v>60</v>
      </c>
    </row>
    <row r="501" spans="1:20" x14ac:dyDescent="0.25">
      <c r="A501">
        <v>501</v>
      </c>
      <c r="B501" s="1" t="s">
        <v>2383</v>
      </c>
      <c r="C501" s="1"/>
      <c r="D501" s="1" t="s">
        <v>2384</v>
      </c>
      <c r="E501" s="1"/>
      <c r="F501" s="1"/>
      <c r="G501" s="1" t="s">
        <v>713</v>
      </c>
      <c r="H501" s="1" t="s">
        <v>2385</v>
      </c>
      <c r="I501" s="1"/>
      <c r="J501" s="1" t="s">
        <v>754</v>
      </c>
      <c r="K501">
        <v>0</v>
      </c>
      <c r="L501">
        <v>0</v>
      </c>
      <c r="N501" s="21">
        <v>44415.628849618057</v>
      </c>
      <c r="O501" s="21">
        <v>44415.628849618057</v>
      </c>
      <c r="P501" s="21"/>
      <c r="Q501">
        <v>0</v>
      </c>
      <c r="T501">
        <v>60</v>
      </c>
    </row>
    <row r="502" spans="1:20" x14ac:dyDescent="0.25">
      <c r="A502">
        <v>502</v>
      </c>
      <c r="B502" s="1" t="s">
        <v>2386</v>
      </c>
      <c r="C502" s="1"/>
      <c r="D502" s="1" t="s">
        <v>2387</v>
      </c>
      <c r="E502" s="1"/>
      <c r="F502" s="1"/>
      <c r="G502" s="1" t="s">
        <v>634</v>
      </c>
      <c r="H502" s="1" t="s">
        <v>2388</v>
      </c>
      <c r="I502" s="1"/>
      <c r="J502" s="1"/>
      <c r="K502">
        <v>0</v>
      </c>
      <c r="L502">
        <v>0</v>
      </c>
      <c r="N502" s="21">
        <v>44415.628849618057</v>
      </c>
      <c r="O502" s="21">
        <v>44415.628849618057</v>
      </c>
      <c r="P502" s="21"/>
      <c r="Q502">
        <v>0</v>
      </c>
      <c r="T502">
        <v>60</v>
      </c>
    </row>
    <row r="503" spans="1:20" x14ac:dyDescent="0.25">
      <c r="A503">
        <v>503</v>
      </c>
      <c r="B503" s="1" t="s">
        <v>2389</v>
      </c>
      <c r="C503" s="1"/>
      <c r="D503" s="1" t="s">
        <v>2390</v>
      </c>
      <c r="E503" s="1" t="s">
        <v>2391</v>
      </c>
      <c r="F503" s="1"/>
      <c r="G503" s="1" t="s">
        <v>634</v>
      </c>
      <c r="H503" s="1" t="s">
        <v>2392</v>
      </c>
      <c r="I503" s="1" t="s">
        <v>995</v>
      </c>
      <c r="J503" s="1"/>
      <c r="K503">
        <v>0</v>
      </c>
      <c r="L503">
        <v>0</v>
      </c>
      <c r="N503" s="21">
        <v>44415.628849618057</v>
      </c>
      <c r="O503" s="21">
        <v>44415.628849618057</v>
      </c>
      <c r="P503" s="21"/>
      <c r="Q503">
        <v>0</v>
      </c>
      <c r="T503">
        <v>60</v>
      </c>
    </row>
    <row r="504" spans="1:20" x14ac:dyDescent="0.25">
      <c r="A504">
        <v>504</v>
      </c>
      <c r="B504" s="1" t="s">
        <v>2393</v>
      </c>
      <c r="C504" s="1"/>
      <c r="D504" s="1" t="s">
        <v>2394</v>
      </c>
      <c r="E504" s="1" t="s">
        <v>2395</v>
      </c>
      <c r="F504" s="1"/>
      <c r="G504" s="1" t="s">
        <v>634</v>
      </c>
      <c r="H504" s="1" t="s">
        <v>2396</v>
      </c>
      <c r="I504" s="1" t="s">
        <v>568</v>
      </c>
      <c r="J504" s="1"/>
      <c r="K504">
        <v>0</v>
      </c>
      <c r="L504">
        <v>0</v>
      </c>
      <c r="N504" s="21">
        <v>44415.628849618057</v>
      </c>
      <c r="O504" s="21">
        <v>44415.628849618057</v>
      </c>
      <c r="P504" s="21"/>
      <c r="Q504">
        <v>0</v>
      </c>
      <c r="T504">
        <v>60</v>
      </c>
    </row>
    <row r="505" spans="1:20" x14ac:dyDescent="0.25">
      <c r="A505">
        <v>505</v>
      </c>
      <c r="B505" s="1" t="s">
        <v>2397</v>
      </c>
      <c r="C505" s="1"/>
      <c r="D505" s="1" t="s">
        <v>2398</v>
      </c>
      <c r="E505" s="1"/>
      <c r="F505" s="1"/>
      <c r="G505" s="1" t="s">
        <v>634</v>
      </c>
      <c r="H505" s="1" t="s">
        <v>2399</v>
      </c>
      <c r="I505" s="1" t="s">
        <v>568</v>
      </c>
      <c r="J505" s="1"/>
      <c r="K505">
        <v>0</v>
      </c>
      <c r="L505">
        <v>0</v>
      </c>
      <c r="N505" s="21">
        <v>44415.628849618057</v>
      </c>
      <c r="O505" s="21">
        <v>44415.628849618057</v>
      </c>
      <c r="P505" s="21"/>
      <c r="Q505">
        <v>0</v>
      </c>
      <c r="T505">
        <v>60</v>
      </c>
    </row>
    <row r="506" spans="1:20" x14ac:dyDescent="0.25">
      <c r="A506">
        <v>506</v>
      </c>
      <c r="B506" s="1" t="s">
        <v>2400</v>
      </c>
      <c r="C506" s="1" t="s">
        <v>2401</v>
      </c>
      <c r="D506" s="1" t="s">
        <v>2402</v>
      </c>
      <c r="E506" s="1"/>
      <c r="F506" s="1"/>
      <c r="G506" s="1" t="s">
        <v>644</v>
      </c>
      <c r="H506" s="1" t="s">
        <v>2403</v>
      </c>
      <c r="I506" s="1" t="s">
        <v>995</v>
      </c>
      <c r="J506" s="1" t="s">
        <v>867</v>
      </c>
      <c r="K506">
        <v>0</v>
      </c>
      <c r="L506">
        <v>1</v>
      </c>
      <c r="M506">
        <v>145</v>
      </c>
      <c r="N506" s="21">
        <v>44415.628849618057</v>
      </c>
      <c r="O506" s="21">
        <v>44415.628849618057</v>
      </c>
      <c r="P506" s="21"/>
      <c r="Q506">
        <v>0</v>
      </c>
      <c r="T506">
        <v>60</v>
      </c>
    </row>
    <row r="507" spans="1:20" x14ac:dyDescent="0.25">
      <c r="A507">
        <v>507</v>
      </c>
      <c r="B507" s="1" t="s">
        <v>2404</v>
      </c>
      <c r="C507" s="1"/>
      <c r="D507" s="1" t="s">
        <v>2405</v>
      </c>
      <c r="E507" s="1"/>
      <c r="F507" s="1"/>
      <c r="G507" s="1" t="s">
        <v>634</v>
      </c>
      <c r="H507" s="1" t="s">
        <v>2406</v>
      </c>
      <c r="I507" s="1"/>
      <c r="J507" s="1"/>
      <c r="K507">
        <v>0</v>
      </c>
      <c r="L507">
        <v>0</v>
      </c>
      <c r="N507" s="21">
        <v>44415.628849618057</v>
      </c>
      <c r="O507" s="21">
        <v>44415.628849618057</v>
      </c>
      <c r="P507" s="21"/>
      <c r="Q507">
        <v>0</v>
      </c>
      <c r="T507">
        <v>60</v>
      </c>
    </row>
    <row r="508" spans="1:20" x14ac:dyDescent="0.25">
      <c r="A508">
        <v>508</v>
      </c>
      <c r="B508" s="1" t="s">
        <v>2407</v>
      </c>
      <c r="C508" s="1" t="s">
        <v>2408</v>
      </c>
      <c r="D508" s="1" t="s">
        <v>2409</v>
      </c>
      <c r="E508" s="1"/>
      <c r="F508" s="1" t="s">
        <v>2410</v>
      </c>
      <c r="G508" s="1" t="s">
        <v>644</v>
      </c>
      <c r="H508" s="1" t="s">
        <v>2411</v>
      </c>
      <c r="I508" s="1" t="s">
        <v>568</v>
      </c>
      <c r="J508" s="1" t="s">
        <v>636</v>
      </c>
      <c r="K508">
        <v>0</v>
      </c>
      <c r="L508">
        <v>1</v>
      </c>
      <c r="M508">
        <v>45</v>
      </c>
      <c r="N508" s="21">
        <v>44415.628849618057</v>
      </c>
      <c r="O508" s="21">
        <v>44415.628849618057</v>
      </c>
      <c r="P508" s="21"/>
      <c r="Q508">
        <v>0</v>
      </c>
      <c r="T508">
        <v>60</v>
      </c>
    </row>
    <row r="509" spans="1:20" x14ac:dyDescent="0.25">
      <c r="A509">
        <v>509</v>
      </c>
      <c r="B509" s="1" t="s">
        <v>2412</v>
      </c>
      <c r="C509" s="1" t="s">
        <v>2413</v>
      </c>
      <c r="D509" s="1" t="s">
        <v>2414</v>
      </c>
      <c r="E509" s="1"/>
      <c r="F509" s="1"/>
      <c r="G509" s="1" t="s">
        <v>644</v>
      </c>
      <c r="H509" s="1" t="s">
        <v>2415</v>
      </c>
      <c r="I509" s="1" t="s">
        <v>995</v>
      </c>
      <c r="J509" s="1" t="s">
        <v>641</v>
      </c>
      <c r="K509">
        <v>0</v>
      </c>
      <c r="L509">
        <v>1</v>
      </c>
      <c r="M509">
        <v>18</v>
      </c>
      <c r="N509" s="21">
        <v>44415.628849618057</v>
      </c>
      <c r="O509" s="21">
        <v>44415.628849618057</v>
      </c>
      <c r="P509" s="21"/>
      <c r="Q509">
        <v>0</v>
      </c>
      <c r="T509">
        <v>60</v>
      </c>
    </row>
    <row r="510" spans="1:20" x14ac:dyDescent="0.25">
      <c r="A510">
        <v>510</v>
      </c>
      <c r="B510" s="1" t="s">
        <v>2416</v>
      </c>
      <c r="C510" s="1"/>
      <c r="D510" s="1" t="s">
        <v>2417</v>
      </c>
      <c r="E510" s="1"/>
      <c r="F510" s="1"/>
      <c r="G510" s="1" t="s">
        <v>713</v>
      </c>
      <c r="H510" s="1" t="s">
        <v>2418</v>
      </c>
      <c r="I510" s="1"/>
      <c r="J510" s="1"/>
      <c r="K510">
        <v>0</v>
      </c>
      <c r="L510">
        <v>0</v>
      </c>
      <c r="N510" s="21">
        <v>44415.628849618057</v>
      </c>
      <c r="O510" s="21">
        <v>44415.628849618057</v>
      </c>
      <c r="P510" s="21"/>
      <c r="Q510">
        <v>0</v>
      </c>
      <c r="T510">
        <v>60</v>
      </c>
    </row>
    <row r="511" spans="1:20" x14ac:dyDescent="0.25">
      <c r="A511">
        <v>511</v>
      </c>
      <c r="B511" s="1" t="s">
        <v>2419</v>
      </c>
      <c r="C511" s="1"/>
      <c r="D511" s="1" t="s">
        <v>2420</v>
      </c>
      <c r="E511" s="1"/>
      <c r="F511" s="1"/>
      <c r="G511" s="1" t="s">
        <v>644</v>
      </c>
      <c r="H511" s="1" t="s">
        <v>2421</v>
      </c>
      <c r="I511" s="1"/>
      <c r="J511" s="1"/>
      <c r="K511">
        <v>0</v>
      </c>
      <c r="L511">
        <v>0</v>
      </c>
      <c r="N511" s="21">
        <v>44415.628849618057</v>
      </c>
      <c r="O511" s="21">
        <v>44415.628849618057</v>
      </c>
      <c r="P511" s="21"/>
      <c r="Q511">
        <v>0</v>
      </c>
      <c r="T511">
        <v>60</v>
      </c>
    </row>
    <row r="512" spans="1:20" x14ac:dyDescent="0.25">
      <c r="A512">
        <v>512</v>
      </c>
      <c r="B512" s="1" t="s">
        <v>2422</v>
      </c>
      <c r="C512" s="1"/>
      <c r="D512" s="1" t="s">
        <v>2423</v>
      </c>
      <c r="E512" s="1"/>
      <c r="F512" s="1"/>
      <c r="G512" s="1"/>
      <c r="H512" s="1" t="s">
        <v>2424</v>
      </c>
      <c r="I512" s="1"/>
      <c r="J512" s="1"/>
      <c r="K512">
        <v>0</v>
      </c>
      <c r="L512">
        <v>0</v>
      </c>
      <c r="N512" s="21">
        <v>44415.628849618057</v>
      </c>
      <c r="O512" s="21">
        <v>44415.628849618057</v>
      </c>
      <c r="P512" s="21"/>
      <c r="Q512">
        <v>0</v>
      </c>
      <c r="T512">
        <v>60</v>
      </c>
    </row>
    <row r="513" spans="1:20" x14ac:dyDescent="0.25">
      <c r="A513">
        <v>513</v>
      </c>
      <c r="B513" s="1" t="s">
        <v>2425</v>
      </c>
      <c r="C513" s="1" t="s">
        <v>2426</v>
      </c>
      <c r="D513" s="1" t="s">
        <v>2427</v>
      </c>
      <c r="E513" s="1"/>
      <c r="F513" s="1"/>
      <c r="G513" s="1" t="s">
        <v>634</v>
      </c>
      <c r="H513" s="1" t="s">
        <v>2428</v>
      </c>
      <c r="I513" s="1" t="s">
        <v>568</v>
      </c>
      <c r="J513" s="1" t="s">
        <v>636</v>
      </c>
      <c r="K513">
        <v>0</v>
      </c>
      <c r="L513">
        <v>1</v>
      </c>
      <c r="M513">
        <v>159</v>
      </c>
      <c r="N513" s="21">
        <v>44415.628849618057</v>
      </c>
      <c r="O513" s="21">
        <v>44415.628849618057</v>
      </c>
      <c r="P513" s="21"/>
      <c r="Q513">
        <v>0</v>
      </c>
      <c r="T513">
        <v>60</v>
      </c>
    </row>
    <row r="514" spans="1:20" x14ac:dyDescent="0.25">
      <c r="A514">
        <v>514</v>
      </c>
      <c r="B514" s="1" t="s">
        <v>2429</v>
      </c>
      <c r="C514" s="1"/>
      <c r="D514" s="1" t="s">
        <v>2430</v>
      </c>
      <c r="E514" s="1"/>
      <c r="F514" s="1"/>
      <c r="G514" s="1" t="s">
        <v>644</v>
      </c>
      <c r="H514" s="1" t="s">
        <v>2431</v>
      </c>
      <c r="I514" s="1" t="s">
        <v>568</v>
      </c>
      <c r="J514" s="1" t="s">
        <v>754</v>
      </c>
      <c r="K514">
        <v>0</v>
      </c>
      <c r="L514">
        <v>0</v>
      </c>
      <c r="N514" s="21">
        <v>44415.628849618057</v>
      </c>
      <c r="O514" s="21">
        <v>44415.628849618057</v>
      </c>
      <c r="P514" s="21"/>
      <c r="Q514">
        <v>0</v>
      </c>
      <c r="T514">
        <v>60</v>
      </c>
    </row>
    <row r="515" spans="1:20" x14ac:dyDescent="0.25">
      <c r="A515">
        <v>515</v>
      </c>
      <c r="B515" s="1" t="s">
        <v>2432</v>
      </c>
      <c r="C515" s="1"/>
      <c r="D515" s="1" t="s">
        <v>2433</v>
      </c>
      <c r="E515" s="1"/>
      <c r="F515" s="1"/>
      <c r="G515" s="1"/>
      <c r="H515" s="1" t="s">
        <v>2434</v>
      </c>
      <c r="I515" s="1"/>
      <c r="J515" s="1"/>
      <c r="K515">
        <v>0</v>
      </c>
      <c r="L515">
        <v>0</v>
      </c>
      <c r="N515" s="21">
        <v>44415.628849618057</v>
      </c>
      <c r="O515" s="21">
        <v>44415.628849618057</v>
      </c>
      <c r="P515" s="21"/>
      <c r="Q515">
        <v>0</v>
      </c>
      <c r="T515">
        <v>60</v>
      </c>
    </row>
    <row r="516" spans="1:20" x14ac:dyDescent="0.25">
      <c r="A516">
        <v>516</v>
      </c>
      <c r="B516" s="1" t="s">
        <v>2435</v>
      </c>
      <c r="C516" s="1" t="s">
        <v>2436</v>
      </c>
      <c r="D516" s="1" t="s">
        <v>2437</v>
      </c>
      <c r="E516" s="1"/>
      <c r="F516" s="1"/>
      <c r="G516" s="1" t="s">
        <v>644</v>
      </c>
      <c r="H516" s="1" t="s">
        <v>2438</v>
      </c>
      <c r="I516" s="1" t="s">
        <v>568</v>
      </c>
      <c r="J516" s="1" t="s">
        <v>636</v>
      </c>
      <c r="K516">
        <v>0</v>
      </c>
      <c r="L516">
        <v>1</v>
      </c>
      <c r="M516">
        <v>1575</v>
      </c>
      <c r="N516" s="21">
        <v>44415.628849618057</v>
      </c>
      <c r="O516" s="21">
        <v>44415.628849618057</v>
      </c>
      <c r="P516" s="21"/>
      <c r="Q516">
        <v>0</v>
      </c>
      <c r="T516">
        <v>60</v>
      </c>
    </row>
    <row r="517" spans="1:20" x14ac:dyDescent="0.25">
      <c r="A517">
        <v>517</v>
      </c>
      <c r="B517" s="1" t="s">
        <v>2439</v>
      </c>
      <c r="C517" s="1" t="s">
        <v>2440</v>
      </c>
      <c r="D517" s="1" t="s">
        <v>2441</v>
      </c>
      <c r="E517" s="1"/>
      <c r="F517" s="1"/>
      <c r="G517" s="1" t="s">
        <v>634</v>
      </c>
      <c r="H517" s="1" t="s">
        <v>2442</v>
      </c>
      <c r="I517" s="1" t="s">
        <v>568</v>
      </c>
      <c r="J517" s="1" t="s">
        <v>636</v>
      </c>
      <c r="K517">
        <v>0</v>
      </c>
      <c r="L517">
        <v>1</v>
      </c>
      <c r="M517">
        <v>22</v>
      </c>
      <c r="N517" s="21">
        <v>44415.628849618057</v>
      </c>
      <c r="O517" s="21">
        <v>44415.628849618057</v>
      </c>
      <c r="P517" s="21"/>
      <c r="Q517">
        <v>0</v>
      </c>
      <c r="T517">
        <v>60</v>
      </c>
    </row>
    <row r="518" spans="1:20" x14ac:dyDescent="0.25">
      <c r="A518">
        <v>518</v>
      </c>
      <c r="B518" s="1" t="s">
        <v>2443</v>
      </c>
      <c r="C518" s="1"/>
      <c r="D518" s="1" t="s">
        <v>2444</v>
      </c>
      <c r="E518" s="1"/>
      <c r="F518" s="1"/>
      <c r="G518" s="1"/>
      <c r="H518" s="1" t="s">
        <v>2445</v>
      </c>
      <c r="I518" s="1"/>
      <c r="J518" s="1" t="s">
        <v>641</v>
      </c>
      <c r="K518">
        <v>0</v>
      </c>
      <c r="L518">
        <v>0</v>
      </c>
      <c r="N518" s="21">
        <v>44415.628849618057</v>
      </c>
      <c r="O518" s="21">
        <v>44415.628849618057</v>
      </c>
      <c r="P518" s="21"/>
      <c r="Q518">
        <v>0</v>
      </c>
      <c r="T518">
        <v>60</v>
      </c>
    </row>
    <row r="519" spans="1:20" x14ac:dyDescent="0.25">
      <c r="A519">
        <v>519</v>
      </c>
      <c r="B519" s="1" t="s">
        <v>2446</v>
      </c>
      <c r="C519" s="1"/>
      <c r="D519" s="1" t="s">
        <v>2447</v>
      </c>
      <c r="E519" s="1"/>
      <c r="F519" s="1"/>
      <c r="G519" s="1" t="s">
        <v>644</v>
      </c>
      <c r="H519" s="1" t="s">
        <v>2448</v>
      </c>
      <c r="I519" s="1"/>
      <c r="J519" s="1"/>
      <c r="K519">
        <v>0</v>
      </c>
      <c r="L519">
        <v>0</v>
      </c>
      <c r="N519" s="21">
        <v>44415.628849618057</v>
      </c>
      <c r="O519" s="21">
        <v>44415.628849618057</v>
      </c>
      <c r="P519" s="21"/>
      <c r="Q519">
        <v>0</v>
      </c>
      <c r="T519">
        <v>60</v>
      </c>
    </row>
    <row r="520" spans="1:20" x14ac:dyDescent="0.25">
      <c r="A520">
        <v>520</v>
      </c>
      <c r="B520" s="1" t="s">
        <v>2449</v>
      </c>
      <c r="C520" s="1"/>
      <c r="D520" s="1" t="s">
        <v>2450</v>
      </c>
      <c r="E520" s="1"/>
      <c r="F520" s="1"/>
      <c r="G520" s="1" t="s">
        <v>634</v>
      </c>
      <c r="H520" s="1" t="s">
        <v>2451</v>
      </c>
      <c r="I520" s="1" t="s">
        <v>568</v>
      </c>
      <c r="J520" s="1"/>
      <c r="K520">
        <v>0</v>
      </c>
      <c r="L520">
        <v>1</v>
      </c>
      <c r="N520" s="21">
        <v>44415.628849618057</v>
      </c>
      <c r="O520" s="21">
        <v>44415.628849618057</v>
      </c>
      <c r="P520" s="21"/>
      <c r="Q520">
        <v>0</v>
      </c>
      <c r="T520">
        <v>60</v>
      </c>
    </row>
    <row r="521" spans="1:20" x14ac:dyDescent="0.25">
      <c r="A521">
        <v>521</v>
      </c>
      <c r="B521" s="1" t="s">
        <v>2452</v>
      </c>
      <c r="C521" s="1"/>
      <c r="D521" s="1" t="s">
        <v>2453</v>
      </c>
      <c r="E521" s="1"/>
      <c r="F521" s="1"/>
      <c r="G521" s="1" t="s">
        <v>634</v>
      </c>
      <c r="H521" s="1" t="s">
        <v>2454</v>
      </c>
      <c r="I521" s="1"/>
      <c r="J521" s="1"/>
      <c r="K521">
        <v>0</v>
      </c>
      <c r="L521">
        <v>0</v>
      </c>
      <c r="N521" s="21">
        <v>44415.628849618057</v>
      </c>
      <c r="O521" s="21">
        <v>44415.628849618057</v>
      </c>
      <c r="P521" s="21"/>
      <c r="Q521">
        <v>0</v>
      </c>
      <c r="T521">
        <v>60</v>
      </c>
    </row>
    <row r="522" spans="1:20" x14ac:dyDescent="0.25">
      <c r="A522">
        <v>522</v>
      </c>
      <c r="B522" s="1" t="s">
        <v>2455</v>
      </c>
      <c r="C522" s="1"/>
      <c r="D522" s="1" t="s">
        <v>2456</v>
      </c>
      <c r="E522" s="1"/>
      <c r="F522" s="1"/>
      <c r="G522" s="1" t="s">
        <v>644</v>
      </c>
      <c r="H522" s="1" t="s">
        <v>2457</v>
      </c>
      <c r="I522" s="1"/>
      <c r="J522" s="1"/>
      <c r="K522">
        <v>0</v>
      </c>
      <c r="L522">
        <v>0</v>
      </c>
      <c r="N522" s="21">
        <v>44415.628849618057</v>
      </c>
      <c r="O522" s="21">
        <v>44415.628849618057</v>
      </c>
      <c r="P522" s="21"/>
      <c r="Q522">
        <v>0</v>
      </c>
      <c r="T522">
        <v>60</v>
      </c>
    </row>
    <row r="523" spans="1:20" x14ac:dyDescent="0.25">
      <c r="A523">
        <v>523</v>
      </c>
      <c r="B523" s="1" t="s">
        <v>2458</v>
      </c>
      <c r="C523" s="1"/>
      <c r="D523" s="1" t="s">
        <v>2459</v>
      </c>
      <c r="E523" s="1"/>
      <c r="F523" s="1"/>
      <c r="G523" s="1" t="s">
        <v>644</v>
      </c>
      <c r="H523" s="1" t="s">
        <v>2460</v>
      </c>
      <c r="I523" s="1" t="s">
        <v>995</v>
      </c>
      <c r="J523" s="1" t="s">
        <v>636</v>
      </c>
      <c r="K523">
        <v>0</v>
      </c>
      <c r="L523">
        <v>0</v>
      </c>
      <c r="N523" s="21">
        <v>44415.628849618057</v>
      </c>
      <c r="O523" s="21">
        <v>44415.628849618057</v>
      </c>
      <c r="P523" s="21"/>
      <c r="Q523">
        <v>0</v>
      </c>
      <c r="T523">
        <v>60</v>
      </c>
    </row>
    <row r="524" spans="1:20" x14ac:dyDescent="0.25">
      <c r="A524">
        <v>524</v>
      </c>
      <c r="B524" s="1" t="s">
        <v>2461</v>
      </c>
      <c r="C524" s="1" t="s">
        <v>2462</v>
      </c>
      <c r="D524" s="1" t="s">
        <v>2463</v>
      </c>
      <c r="E524" s="1"/>
      <c r="F524" s="1"/>
      <c r="G524" s="1" t="s">
        <v>713</v>
      </c>
      <c r="H524" s="1" t="s">
        <v>2464</v>
      </c>
      <c r="I524" s="1"/>
      <c r="J524" s="1" t="s">
        <v>636</v>
      </c>
      <c r="K524">
        <v>0</v>
      </c>
      <c r="L524">
        <v>1</v>
      </c>
      <c r="M524">
        <v>4813</v>
      </c>
      <c r="N524" s="21">
        <v>44415.628849618057</v>
      </c>
      <c r="O524" s="21">
        <v>44415.628849618057</v>
      </c>
      <c r="P524" s="21"/>
      <c r="Q524">
        <v>0</v>
      </c>
      <c r="T524">
        <v>60</v>
      </c>
    </row>
    <row r="525" spans="1:20" x14ac:dyDescent="0.25">
      <c r="A525">
        <v>525</v>
      </c>
      <c r="B525" s="1" t="s">
        <v>2465</v>
      </c>
      <c r="C525" s="1"/>
      <c r="D525" s="1" t="s">
        <v>2466</v>
      </c>
      <c r="E525" s="1"/>
      <c r="F525" s="1"/>
      <c r="G525" s="1" t="s">
        <v>644</v>
      </c>
      <c r="H525" s="1" t="s">
        <v>2467</v>
      </c>
      <c r="I525" s="1"/>
      <c r="J525" s="1"/>
      <c r="K525">
        <v>0</v>
      </c>
      <c r="L525">
        <v>0</v>
      </c>
      <c r="N525" s="21">
        <v>44415.628849618057</v>
      </c>
      <c r="O525" s="21">
        <v>44415.628849618057</v>
      </c>
      <c r="P525" s="21"/>
      <c r="Q525">
        <v>0</v>
      </c>
      <c r="T525">
        <v>60</v>
      </c>
    </row>
    <row r="526" spans="1:20" x14ac:dyDescent="0.25">
      <c r="A526">
        <v>526</v>
      </c>
      <c r="B526" s="1" t="s">
        <v>2468</v>
      </c>
      <c r="C526" s="1"/>
      <c r="D526" s="1" t="s">
        <v>2469</v>
      </c>
      <c r="E526" s="1"/>
      <c r="F526" s="1"/>
      <c r="G526" s="1" t="s">
        <v>634</v>
      </c>
      <c r="H526" s="1" t="s">
        <v>2470</v>
      </c>
      <c r="I526" s="1"/>
      <c r="J526" s="1"/>
      <c r="K526">
        <v>0</v>
      </c>
      <c r="L526">
        <v>0</v>
      </c>
      <c r="N526" s="21">
        <v>44415.628849618057</v>
      </c>
      <c r="O526" s="21">
        <v>44415.628849618057</v>
      </c>
      <c r="P526" s="21"/>
      <c r="Q526">
        <v>0</v>
      </c>
      <c r="T526">
        <v>60</v>
      </c>
    </row>
    <row r="527" spans="1:20" x14ac:dyDescent="0.25">
      <c r="A527">
        <v>527</v>
      </c>
      <c r="B527" s="1" t="s">
        <v>2471</v>
      </c>
      <c r="C527" s="1"/>
      <c r="D527" s="1" t="s">
        <v>2472</v>
      </c>
      <c r="E527" s="1"/>
      <c r="F527" s="1"/>
      <c r="G527" s="1" t="s">
        <v>634</v>
      </c>
      <c r="H527" s="1" t="s">
        <v>2473</v>
      </c>
      <c r="I527" s="1"/>
      <c r="J527" s="1"/>
      <c r="K527">
        <v>0</v>
      </c>
      <c r="L527">
        <v>0</v>
      </c>
      <c r="N527" s="21">
        <v>44415.628849618057</v>
      </c>
      <c r="O527" s="21">
        <v>44415.628849618057</v>
      </c>
      <c r="P527" s="21"/>
      <c r="Q527">
        <v>0</v>
      </c>
      <c r="T527">
        <v>60</v>
      </c>
    </row>
    <row r="528" spans="1:20" x14ac:dyDescent="0.25">
      <c r="A528">
        <v>528</v>
      </c>
      <c r="B528" s="1" t="s">
        <v>2474</v>
      </c>
      <c r="C528" s="1"/>
      <c r="D528" s="1" t="s">
        <v>2475</v>
      </c>
      <c r="E528" s="1"/>
      <c r="F528" s="1"/>
      <c r="G528" s="1" t="s">
        <v>634</v>
      </c>
      <c r="H528" s="1" t="s">
        <v>2476</v>
      </c>
      <c r="I528" s="1" t="s">
        <v>568</v>
      </c>
      <c r="J528" s="1" t="s">
        <v>641</v>
      </c>
      <c r="K528">
        <v>0</v>
      </c>
      <c r="L528">
        <v>0</v>
      </c>
      <c r="N528" s="21">
        <v>44415.628849618057</v>
      </c>
      <c r="O528" s="21">
        <v>44415.628849618057</v>
      </c>
      <c r="P528" s="21"/>
      <c r="Q528">
        <v>0</v>
      </c>
      <c r="T528">
        <v>60</v>
      </c>
    </row>
    <row r="529" spans="1:20" x14ac:dyDescent="0.25">
      <c r="A529">
        <v>529</v>
      </c>
      <c r="B529" s="1" t="s">
        <v>2477</v>
      </c>
      <c r="C529" s="1"/>
      <c r="D529" s="1" t="s">
        <v>2478</v>
      </c>
      <c r="E529" s="1"/>
      <c r="F529" s="1"/>
      <c r="G529" s="1" t="s">
        <v>634</v>
      </c>
      <c r="H529" s="1" t="s">
        <v>2479</v>
      </c>
      <c r="I529" s="1"/>
      <c r="J529" s="1"/>
      <c r="K529">
        <v>0</v>
      </c>
      <c r="L529">
        <v>0</v>
      </c>
      <c r="N529" s="21">
        <v>44415.628849618057</v>
      </c>
      <c r="O529" s="21">
        <v>44415.628849618057</v>
      </c>
      <c r="P529" s="21"/>
      <c r="Q529">
        <v>0</v>
      </c>
      <c r="T529">
        <v>60</v>
      </c>
    </row>
    <row r="530" spans="1:20" x14ac:dyDescent="0.25">
      <c r="A530">
        <v>530</v>
      </c>
      <c r="B530" s="1" t="s">
        <v>2480</v>
      </c>
      <c r="C530" s="1" t="s">
        <v>2481</v>
      </c>
      <c r="D530" s="1" t="s">
        <v>2482</v>
      </c>
      <c r="E530" s="1"/>
      <c r="F530" s="1" t="s">
        <v>2483</v>
      </c>
      <c r="G530" s="1" t="s">
        <v>634</v>
      </c>
      <c r="H530" s="1" t="s">
        <v>2484</v>
      </c>
      <c r="I530" s="1" t="s">
        <v>568</v>
      </c>
      <c r="J530" s="1" t="s">
        <v>636</v>
      </c>
      <c r="K530">
        <v>0</v>
      </c>
      <c r="L530">
        <v>1</v>
      </c>
      <c r="M530">
        <v>107</v>
      </c>
      <c r="N530" s="21">
        <v>44415.628849618057</v>
      </c>
      <c r="O530" s="21">
        <v>44415.628849618057</v>
      </c>
      <c r="P530" s="21"/>
      <c r="Q530">
        <v>0</v>
      </c>
      <c r="T530">
        <v>60</v>
      </c>
    </row>
    <row r="531" spans="1:20" x14ac:dyDescent="0.25">
      <c r="A531">
        <v>531</v>
      </c>
      <c r="B531" s="1" t="s">
        <v>2485</v>
      </c>
      <c r="C531" s="1"/>
      <c r="D531" s="1" t="s">
        <v>2486</v>
      </c>
      <c r="E531" s="1" t="s">
        <v>2487</v>
      </c>
      <c r="F531" s="1"/>
      <c r="G531" s="1"/>
      <c r="H531" s="1" t="s">
        <v>2488</v>
      </c>
      <c r="I531" s="1" t="s">
        <v>568</v>
      </c>
      <c r="J531" s="1"/>
      <c r="K531">
        <v>0</v>
      </c>
      <c r="L531">
        <v>0</v>
      </c>
      <c r="N531" s="21">
        <v>44415.628849618057</v>
      </c>
      <c r="O531" s="21">
        <v>44415.628849618057</v>
      </c>
      <c r="P531" s="21"/>
      <c r="Q531">
        <v>0</v>
      </c>
      <c r="T531">
        <v>60</v>
      </c>
    </row>
    <row r="532" spans="1:20" x14ac:dyDescent="0.25">
      <c r="A532">
        <v>532</v>
      </c>
      <c r="B532" s="1" t="s">
        <v>2489</v>
      </c>
      <c r="C532" s="1" t="s">
        <v>2490</v>
      </c>
      <c r="D532" s="1" t="s">
        <v>2491</v>
      </c>
      <c r="E532" s="1"/>
      <c r="F532" s="1"/>
      <c r="G532" s="1" t="s">
        <v>634</v>
      </c>
      <c r="H532" s="1" t="s">
        <v>2492</v>
      </c>
      <c r="I532" s="1" t="s">
        <v>995</v>
      </c>
      <c r="J532" s="1" t="s">
        <v>1751</v>
      </c>
      <c r="K532">
        <v>0</v>
      </c>
      <c r="L532">
        <v>1</v>
      </c>
      <c r="M532">
        <v>85</v>
      </c>
      <c r="N532" s="21">
        <v>44415.628849618057</v>
      </c>
      <c r="O532" s="21">
        <v>44415.628849618057</v>
      </c>
      <c r="P532" s="21"/>
      <c r="Q532">
        <v>0</v>
      </c>
      <c r="T532">
        <v>60</v>
      </c>
    </row>
    <row r="533" spans="1:20" x14ac:dyDescent="0.25">
      <c r="A533">
        <v>533</v>
      </c>
      <c r="B533" s="1" t="s">
        <v>2493</v>
      </c>
      <c r="C533" s="1"/>
      <c r="D533" s="1" t="s">
        <v>2494</v>
      </c>
      <c r="E533" s="1"/>
      <c r="F533" s="1"/>
      <c r="G533" s="1" t="s">
        <v>644</v>
      </c>
      <c r="H533" s="1" t="s">
        <v>2495</v>
      </c>
      <c r="I533" s="1"/>
      <c r="J533" s="1"/>
      <c r="K533">
        <v>0</v>
      </c>
      <c r="L533">
        <v>0</v>
      </c>
      <c r="N533" s="21">
        <v>44415.628849618057</v>
      </c>
      <c r="O533" s="21">
        <v>44415.628849618057</v>
      </c>
      <c r="P533" s="21"/>
      <c r="Q533">
        <v>0</v>
      </c>
      <c r="T533">
        <v>60</v>
      </c>
    </row>
    <row r="534" spans="1:20" x14ac:dyDescent="0.25">
      <c r="A534">
        <v>534</v>
      </c>
      <c r="B534" s="1" t="s">
        <v>2496</v>
      </c>
      <c r="C534" s="1" t="s">
        <v>2497</v>
      </c>
      <c r="D534" s="1" t="s">
        <v>2498</v>
      </c>
      <c r="E534" s="1"/>
      <c r="F534" s="1"/>
      <c r="G534" s="1"/>
      <c r="H534" s="1" t="s">
        <v>2499</v>
      </c>
      <c r="I534" s="1"/>
      <c r="J534" s="1" t="s">
        <v>636</v>
      </c>
      <c r="K534">
        <v>0</v>
      </c>
      <c r="L534">
        <v>1</v>
      </c>
      <c r="M534">
        <v>109</v>
      </c>
      <c r="N534" s="21">
        <v>44415.628849618057</v>
      </c>
      <c r="O534" s="21">
        <v>44415.628849618057</v>
      </c>
      <c r="P534" s="21"/>
      <c r="Q534">
        <v>0</v>
      </c>
      <c r="T534">
        <v>60</v>
      </c>
    </row>
    <row r="535" spans="1:20" x14ac:dyDescent="0.25">
      <c r="A535">
        <v>535</v>
      </c>
      <c r="B535" s="1" t="s">
        <v>2500</v>
      </c>
      <c r="C535" s="1"/>
      <c r="D535" s="1" t="s">
        <v>2501</v>
      </c>
      <c r="E535" s="1"/>
      <c r="F535" s="1"/>
      <c r="G535" s="1"/>
      <c r="H535" s="1" t="s">
        <v>2502</v>
      </c>
      <c r="I535" s="1"/>
      <c r="J535" s="1"/>
      <c r="K535">
        <v>0</v>
      </c>
      <c r="L535">
        <v>0</v>
      </c>
      <c r="N535" s="21">
        <v>44415.628849618057</v>
      </c>
      <c r="O535" s="21">
        <v>44415.628849618057</v>
      </c>
      <c r="P535" s="21"/>
      <c r="Q535">
        <v>0</v>
      </c>
      <c r="T535">
        <v>60</v>
      </c>
    </row>
    <row r="536" spans="1:20" x14ac:dyDescent="0.25">
      <c r="A536">
        <v>536</v>
      </c>
      <c r="B536" s="1" t="s">
        <v>2503</v>
      </c>
      <c r="C536" s="1"/>
      <c r="D536" s="1" t="s">
        <v>2504</v>
      </c>
      <c r="E536" s="1"/>
      <c r="F536" s="1"/>
      <c r="G536" s="1" t="s">
        <v>634</v>
      </c>
      <c r="H536" s="1" t="s">
        <v>2502</v>
      </c>
      <c r="I536" s="1"/>
      <c r="J536" s="1"/>
      <c r="K536">
        <v>0</v>
      </c>
      <c r="L536">
        <v>0</v>
      </c>
      <c r="N536" s="21">
        <v>44415.628849618057</v>
      </c>
      <c r="O536" s="21">
        <v>44415.628849618057</v>
      </c>
      <c r="P536" s="21"/>
      <c r="Q536">
        <v>0</v>
      </c>
      <c r="T536">
        <v>60</v>
      </c>
    </row>
    <row r="537" spans="1:20" x14ac:dyDescent="0.25">
      <c r="A537">
        <v>537</v>
      </c>
      <c r="B537" s="1" t="s">
        <v>2505</v>
      </c>
      <c r="C537" s="1" t="s">
        <v>2506</v>
      </c>
      <c r="D537" s="1" t="s">
        <v>2507</v>
      </c>
      <c r="E537" s="1"/>
      <c r="F537" s="1"/>
      <c r="G537" s="1" t="s">
        <v>634</v>
      </c>
      <c r="H537" s="1" t="s">
        <v>2508</v>
      </c>
      <c r="I537" s="1" t="s">
        <v>995</v>
      </c>
      <c r="J537" s="1" t="s">
        <v>641</v>
      </c>
      <c r="K537">
        <v>0</v>
      </c>
      <c r="L537">
        <v>1</v>
      </c>
      <c r="M537">
        <v>120</v>
      </c>
      <c r="N537" s="21">
        <v>44415.628849618057</v>
      </c>
      <c r="O537" s="21">
        <v>44415.628849618057</v>
      </c>
      <c r="P537" s="21"/>
      <c r="Q537">
        <v>0</v>
      </c>
      <c r="T537">
        <v>60</v>
      </c>
    </row>
    <row r="538" spans="1:20" x14ac:dyDescent="0.25">
      <c r="A538">
        <v>538</v>
      </c>
      <c r="B538" s="1" t="s">
        <v>2509</v>
      </c>
      <c r="C538" s="1" t="s">
        <v>2510</v>
      </c>
      <c r="D538" s="1" t="s">
        <v>2511</v>
      </c>
      <c r="E538" s="1" t="s">
        <v>2512</v>
      </c>
      <c r="F538" s="1"/>
      <c r="G538" s="1" t="s">
        <v>634</v>
      </c>
      <c r="H538" s="1" t="s">
        <v>2513</v>
      </c>
      <c r="I538" s="1" t="s">
        <v>568</v>
      </c>
      <c r="J538" s="1" t="s">
        <v>636</v>
      </c>
      <c r="K538">
        <v>0</v>
      </c>
      <c r="L538">
        <v>1</v>
      </c>
      <c r="M538">
        <v>1593</v>
      </c>
      <c r="N538" s="21">
        <v>44415.628849618057</v>
      </c>
      <c r="O538" s="21">
        <v>44415.628849618057</v>
      </c>
      <c r="P538" s="21"/>
      <c r="Q538">
        <v>0</v>
      </c>
      <c r="T538">
        <v>60</v>
      </c>
    </row>
    <row r="539" spans="1:20" x14ac:dyDescent="0.25">
      <c r="A539">
        <v>539</v>
      </c>
      <c r="B539" s="1" t="s">
        <v>2514</v>
      </c>
      <c r="C539" s="1" t="s">
        <v>2515</v>
      </c>
      <c r="D539" s="1" t="s">
        <v>2516</v>
      </c>
      <c r="E539" s="1"/>
      <c r="F539" s="1"/>
      <c r="G539" s="1" t="s">
        <v>634</v>
      </c>
      <c r="H539" s="1" t="s">
        <v>2517</v>
      </c>
      <c r="I539" s="1" t="s">
        <v>568</v>
      </c>
      <c r="J539" s="1" t="s">
        <v>636</v>
      </c>
      <c r="K539">
        <v>0</v>
      </c>
      <c r="L539">
        <v>1</v>
      </c>
      <c r="M539">
        <v>4453</v>
      </c>
      <c r="N539" s="21">
        <v>44415.628849618057</v>
      </c>
      <c r="O539" s="21">
        <v>44415.628849618057</v>
      </c>
      <c r="P539" s="21"/>
      <c r="Q539">
        <v>0</v>
      </c>
      <c r="T539">
        <v>60</v>
      </c>
    </row>
    <row r="540" spans="1:20" x14ac:dyDescent="0.25">
      <c r="A540">
        <v>540</v>
      </c>
      <c r="B540" s="1" t="s">
        <v>2518</v>
      </c>
      <c r="C540" s="1"/>
      <c r="D540" s="1" t="s">
        <v>2519</v>
      </c>
      <c r="E540" s="1"/>
      <c r="F540" s="1"/>
      <c r="G540" s="1" t="s">
        <v>634</v>
      </c>
      <c r="H540" s="1" t="s">
        <v>2520</v>
      </c>
      <c r="I540" s="1"/>
      <c r="J540" s="1"/>
      <c r="K540">
        <v>0</v>
      </c>
      <c r="L540">
        <v>0</v>
      </c>
      <c r="N540" s="21">
        <v>44415.628849618057</v>
      </c>
      <c r="O540" s="21">
        <v>44415.628849618057</v>
      </c>
      <c r="P540" s="21"/>
      <c r="Q540">
        <v>0</v>
      </c>
      <c r="T540">
        <v>60</v>
      </c>
    </row>
    <row r="541" spans="1:20" x14ac:dyDescent="0.25">
      <c r="A541">
        <v>541</v>
      </c>
      <c r="B541" s="1" t="s">
        <v>2521</v>
      </c>
      <c r="C541" s="1" t="s">
        <v>2522</v>
      </c>
      <c r="D541" s="1" t="s">
        <v>2523</v>
      </c>
      <c r="E541" s="1" t="s">
        <v>2524</v>
      </c>
      <c r="F541" s="1"/>
      <c r="G541" s="1" t="s">
        <v>634</v>
      </c>
      <c r="H541" s="1" t="s">
        <v>2525</v>
      </c>
      <c r="I541" s="1" t="s">
        <v>568</v>
      </c>
      <c r="J541" s="1" t="s">
        <v>636</v>
      </c>
      <c r="K541">
        <v>0</v>
      </c>
      <c r="L541">
        <v>1</v>
      </c>
      <c r="M541">
        <v>14</v>
      </c>
      <c r="N541" s="21">
        <v>44415.628849618057</v>
      </c>
      <c r="O541" s="21">
        <v>44415.628849618057</v>
      </c>
      <c r="P541" s="21"/>
      <c r="Q541">
        <v>0</v>
      </c>
      <c r="T541">
        <v>60</v>
      </c>
    </row>
    <row r="542" spans="1:20" x14ac:dyDescent="0.25">
      <c r="A542">
        <v>542</v>
      </c>
      <c r="B542" s="1" t="s">
        <v>2526</v>
      </c>
      <c r="C542" s="1" t="s">
        <v>2527</v>
      </c>
      <c r="D542" s="1" t="s">
        <v>2528</v>
      </c>
      <c r="E542" s="1"/>
      <c r="F542" s="1"/>
      <c r="G542" s="1" t="s">
        <v>644</v>
      </c>
      <c r="H542" s="1" t="s">
        <v>2529</v>
      </c>
      <c r="I542" s="1" t="s">
        <v>568</v>
      </c>
      <c r="J542" s="1" t="s">
        <v>636</v>
      </c>
      <c r="K542">
        <v>0</v>
      </c>
      <c r="L542">
        <v>1</v>
      </c>
      <c r="M542">
        <v>153</v>
      </c>
      <c r="N542" s="21">
        <v>44415.628849618057</v>
      </c>
      <c r="O542" s="21">
        <v>44415.628849618057</v>
      </c>
      <c r="P542" s="21"/>
      <c r="Q542">
        <v>0</v>
      </c>
      <c r="T542">
        <v>60</v>
      </c>
    </row>
    <row r="543" spans="1:20" x14ac:dyDescent="0.25">
      <c r="A543">
        <v>543</v>
      </c>
      <c r="B543" s="1" t="s">
        <v>2530</v>
      </c>
      <c r="C543" s="1"/>
      <c r="D543" s="1" t="s">
        <v>2531</v>
      </c>
      <c r="E543" s="1"/>
      <c r="F543" s="1"/>
      <c r="G543" s="1" t="s">
        <v>644</v>
      </c>
      <c r="H543" s="1" t="s">
        <v>2532</v>
      </c>
      <c r="I543" s="1" t="s">
        <v>782</v>
      </c>
      <c r="J543" s="1" t="s">
        <v>641</v>
      </c>
      <c r="K543">
        <v>0</v>
      </c>
      <c r="L543">
        <v>0</v>
      </c>
      <c r="N543" s="21">
        <v>44415.628849618057</v>
      </c>
      <c r="O543" s="21">
        <v>44415.628849618057</v>
      </c>
      <c r="P543" s="21"/>
      <c r="Q543">
        <v>0</v>
      </c>
      <c r="T543">
        <v>60</v>
      </c>
    </row>
    <row r="544" spans="1:20" x14ac:dyDescent="0.25">
      <c r="A544">
        <v>544</v>
      </c>
      <c r="B544" s="1" t="s">
        <v>2533</v>
      </c>
      <c r="C544" s="1"/>
      <c r="D544" s="1" t="s">
        <v>2534</v>
      </c>
      <c r="E544" s="1"/>
      <c r="F544" s="1"/>
      <c r="G544" s="1"/>
      <c r="H544" s="1" t="s">
        <v>2535</v>
      </c>
      <c r="I544" s="1"/>
      <c r="J544" s="1"/>
      <c r="K544">
        <v>0</v>
      </c>
      <c r="L544">
        <v>0</v>
      </c>
      <c r="N544" s="21">
        <v>44415.628849618057</v>
      </c>
      <c r="O544" s="21">
        <v>44415.628849618057</v>
      </c>
      <c r="P544" s="21"/>
      <c r="Q544">
        <v>0</v>
      </c>
      <c r="T544">
        <v>60</v>
      </c>
    </row>
    <row r="545" spans="1:20" x14ac:dyDescent="0.25">
      <c r="A545">
        <v>545</v>
      </c>
      <c r="B545" s="1" t="s">
        <v>2536</v>
      </c>
      <c r="C545" s="1" t="s">
        <v>2537</v>
      </c>
      <c r="D545" s="1" t="s">
        <v>2538</v>
      </c>
      <c r="E545" s="1"/>
      <c r="F545" s="1"/>
      <c r="G545" s="1" t="s">
        <v>634</v>
      </c>
      <c r="H545" s="1" t="s">
        <v>2539</v>
      </c>
      <c r="I545" s="1" t="s">
        <v>782</v>
      </c>
      <c r="J545" s="1" t="s">
        <v>641</v>
      </c>
      <c r="K545">
        <v>0</v>
      </c>
      <c r="L545">
        <v>1</v>
      </c>
      <c r="M545">
        <v>1935</v>
      </c>
      <c r="N545" s="21">
        <v>44415.628849618057</v>
      </c>
      <c r="O545" s="21">
        <v>44415.628849618057</v>
      </c>
      <c r="P545" s="21"/>
      <c r="Q545">
        <v>0</v>
      </c>
      <c r="T545">
        <v>60</v>
      </c>
    </row>
    <row r="546" spans="1:20" x14ac:dyDescent="0.25">
      <c r="A546">
        <v>546</v>
      </c>
      <c r="B546" s="1" t="s">
        <v>2540</v>
      </c>
      <c r="C546" s="1"/>
      <c r="D546" s="1" t="s">
        <v>2541</v>
      </c>
      <c r="E546" s="1"/>
      <c r="F546" s="1"/>
      <c r="G546" s="1"/>
      <c r="H546" s="1" t="s">
        <v>2542</v>
      </c>
      <c r="I546" s="1"/>
      <c r="J546" s="1"/>
      <c r="K546">
        <v>0</v>
      </c>
      <c r="L546">
        <v>0</v>
      </c>
      <c r="N546" s="21">
        <v>44415.628849618057</v>
      </c>
      <c r="O546" s="21">
        <v>44415.628849618057</v>
      </c>
      <c r="P546" s="21"/>
      <c r="Q546">
        <v>0</v>
      </c>
      <c r="T546">
        <v>60</v>
      </c>
    </row>
    <row r="547" spans="1:20" x14ac:dyDescent="0.25">
      <c r="A547">
        <v>547</v>
      </c>
      <c r="B547" s="1" t="s">
        <v>2543</v>
      </c>
      <c r="C547" s="1" t="s">
        <v>2544</v>
      </c>
      <c r="D547" s="1" t="s">
        <v>2545</v>
      </c>
      <c r="E547" s="1"/>
      <c r="F547" s="1"/>
      <c r="G547" s="1" t="s">
        <v>644</v>
      </c>
      <c r="H547" s="1" t="s">
        <v>2546</v>
      </c>
      <c r="I547" s="1" t="s">
        <v>2547</v>
      </c>
      <c r="J547" s="1" t="s">
        <v>641</v>
      </c>
      <c r="K547">
        <v>0</v>
      </c>
      <c r="L547">
        <v>1</v>
      </c>
      <c r="M547">
        <v>4792</v>
      </c>
      <c r="N547" s="21">
        <v>44415.628849618057</v>
      </c>
      <c r="O547" s="21">
        <v>44415.628849618057</v>
      </c>
      <c r="P547" s="21"/>
      <c r="Q547">
        <v>0</v>
      </c>
      <c r="T547">
        <v>60</v>
      </c>
    </row>
    <row r="548" spans="1:20" x14ac:dyDescent="0.25">
      <c r="A548">
        <v>548</v>
      </c>
      <c r="B548" s="1" t="s">
        <v>2548</v>
      </c>
      <c r="C548" s="1" t="s">
        <v>2549</v>
      </c>
      <c r="D548" s="1" t="s">
        <v>2550</v>
      </c>
      <c r="E548" s="1"/>
      <c r="F548" s="1"/>
      <c r="G548" s="1" t="s">
        <v>713</v>
      </c>
      <c r="H548" s="1" t="s">
        <v>2551</v>
      </c>
      <c r="I548" s="1" t="s">
        <v>2552</v>
      </c>
      <c r="J548" s="1" t="s">
        <v>641</v>
      </c>
      <c r="K548">
        <v>0</v>
      </c>
      <c r="L548">
        <v>1</v>
      </c>
      <c r="M548">
        <v>104</v>
      </c>
      <c r="N548" s="21">
        <v>44415.628849618057</v>
      </c>
      <c r="O548" s="21">
        <v>44415.628849618057</v>
      </c>
      <c r="P548" s="21"/>
      <c r="Q548">
        <v>0</v>
      </c>
      <c r="T548">
        <v>60</v>
      </c>
    </row>
    <row r="549" spans="1:20" x14ac:dyDescent="0.25">
      <c r="A549">
        <v>549</v>
      </c>
      <c r="B549" s="1" t="s">
        <v>2553</v>
      </c>
      <c r="C549" s="1"/>
      <c r="D549" s="1" t="s">
        <v>2554</v>
      </c>
      <c r="E549" s="1"/>
      <c r="F549" s="1"/>
      <c r="G549" s="1" t="s">
        <v>644</v>
      </c>
      <c r="H549" s="1" t="s">
        <v>2555</v>
      </c>
      <c r="I549" s="1" t="s">
        <v>568</v>
      </c>
      <c r="J549" s="1" t="s">
        <v>636</v>
      </c>
      <c r="K549">
        <v>0</v>
      </c>
      <c r="L549">
        <v>0</v>
      </c>
      <c r="N549" s="21">
        <v>44415.628849618057</v>
      </c>
      <c r="O549" s="21">
        <v>44415.628849618057</v>
      </c>
      <c r="P549" s="21"/>
      <c r="Q549">
        <v>0</v>
      </c>
      <c r="T549">
        <v>60</v>
      </c>
    </row>
    <row r="550" spans="1:20" x14ac:dyDescent="0.25">
      <c r="A550">
        <v>550</v>
      </c>
      <c r="B550" s="1" t="s">
        <v>2556</v>
      </c>
      <c r="C550" s="1"/>
      <c r="D550" s="1" t="s">
        <v>2557</v>
      </c>
      <c r="E550" s="1"/>
      <c r="F550" s="1"/>
      <c r="G550" s="1" t="s">
        <v>644</v>
      </c>
      <c r="H550" s="1" t="s">
        <v>2558</v>
      </c>
      <c r="I550" s="1" t="s">
        <v>568</v>
      </c>
      <c r="J550" s="1" t="s">
        <v>641</v>
      </c>
      <c r="K550">
        <v>0</v>
      </c>
      <c r="L550">
        <v>0</v>
      </c>
      <c r="N550" s="21">
        <v>44415.628849618057</v>
      </c>
      <c r="O550" s="21">
        <v>44415.628849618057</v>
      </c>
      <c r="P550" s="21"/>
      <c r="Q550">
        <v>0</v>
      </c>
      <c r="T550">
        <v>60</v>
      </c>
    </row>
    <row r="551" spans="1:20" x14ac:dyDescent="0.25">
      <c r="A551">
        <v>551</v>
      </c>
      <c r="B551" s="1" t="s">
        <v>2559</v>
      </c>
      <c r="C551" s="1" t="s">
        <v>2560</v>
      </c>
      <c r="D551" s="1" t="s">
        <v>2561</v>
      </c>
      <c r="E551" s="1"/>
      <c r="F551" s="1"/>
      <c r="G551" s="1" t="s">
        <v>634</v>
      </c>
      <c r="H551" s="1" t="s">
        <v>2562</v>
      </c>
      <c r="I551" s="1" t="s">
        <v>568</v>
      </c>
      <c r="J551" s="1" t="s">
        <v>641</v>
      </c>
      <c r="K551">
        <v>0</v>
      </c>
      <c r="L551">
        <v>1</v>
      </c>
      <c r="M551">
        <v>97</v>
      </c>
      <c r="N551" s="21">
        <v>44415.628849618057</v>
      </c>
      <c r="O551" s="21">
        <v>44415.628849618057</v>
      </c>
      <c r="P551" s="21"/>
      <c r="Q551">
        <v>0</v>
      </c>
      <c r="T551">
        <v>60</v>
      </c>
    </row>
    <row r="552" spans="1:20" x14ac:dyDescent="0.25">
      <c r="A552">
        <v>552</v>
      </c>
      <c r="B552" s="1" t="s">
        <v>2563</v>
      </c>
      <c r="C552" s="1"/>
      <c r="D552" s="1" t="s">
        <v>2564</v>
      </c>
      <c r="E552" s="1"/>
      <c r="F552" s="1"/>
      <c r="G552" s="1" t="s">
        <v>644</v>
      </c>
      <c r="H552" s="1" t="s">
        <v>2565</v>
      </c>
      <c r="I552" s="1"/>
      <c r="J552" s="1"/>
      <c r="K552">
        <v>0</v>
      </c>
      <c r="L552">
        <v>1</v>
      </c>
      <c r="N552" s="21">
        <v>44415.628849618057</v>
      </c>
      <c r="O552" s="21">
        <v>44415.628849618057</v>
      </c>
      <c r="P552" s="21"/>
      <c r="Q552">
        <v>0</v>
      </c>
      <c r="T552">
        <v>60</v>
      </c>
    </row>
    <row r="553" spans="1:20" x14ac:dyDescent="0.25">
      <c r="A553">
        <v>553</v>
      </c>
      <c r="B553" s="1" t="s">
        <v>2566</v>
      </c>
      <c r="C553" s="1" t="s">
        <v>2567</v>
      </c>
      <c r="D553" s="1" t="s">
        <v>2568</v>
      </c>
      <c r="E553" s="1"/>
      <c r="F553" s="1"/>
      <c r="G553" s="1" t="s">
        <v>634</v>
      </c>
      <c r="H553" s="1" t="s">
        <v>2569</v>
      </c>
      <c r="I553" s="1" t="s">
        <v>568</v>
      </c>
      <c r="J553" s="1" t="s">
        <v>636</v>
      </c>
      <c r="K553">
        <v>0</v>
      </c>
      <c r="L553">
        <v>1</v>
      </c>
      <c r="M553">
        <v>6</v>
      </c>
      <c r="N553" s="21">
        <v>44415.628849618057</v>
      </c>
      <c r="O553" s="21">
        <v>44415.628849618057</v>
      </c>
      <c r="P553" s="21"/>
      <c r="Q553">
        <v>0</v>
      </c>
      <c r="T553">
        <v>60</v>
      </c>
    </row>
    <row r="554" spans="1:20" x14ac:dyDescent="0.25">
      <c r="A554">
        <v>554</v>
      </c>
      <c r="B554" s="1" t="s">
        <v>2570</v>
      </c>
      <c r="C554" s="1"/>
      <c r="D554" s="1" t="s">
        <v>2571</v>
      </c>
      <c r="E554" s="1"/>
      <c r="F554" s="1"/>
      <c r="G554" s="1"/>
      <c r="H554" s="1" t="s">
        <v>2572</v>
      </c>
      <c r="I554" s="1"/>
      <c r="J554" s="1"/>
      <c r="K554">
        <v>0</v>
      </c>
      <c r="L554">
        <v>0</v>
      </c>
      <c r="N554" s="21">
        <v>44415.628849618057</v>
      </c>
      <c r="O554" s="21">
        <v>44415.628849618057</v>
      </c>
      <c r="P554" s="21"/>
      <c r="Q554">
        <v>0</v>
      </c>
      <c r="T554">
        <v>60</v>
      </c>
    </row>
    <row r="555" spans="1:20" x14ac:dyDescent="0.25">
      <c r="A555">
        <v>555</v>
      </c>
      <c r="B555" s="1" t="s">
        <v>2573</v>
      </c>
      <c r="C555" s="1"/>
      <c r="D555" s="1" t="s">
        <v>2574</v>
      </c>
      <c r="E555" s="1"/>
      <c r="F555" s="1"/>
      <c r="G555" s="1" t="s">
        <v>634</v>
      </c>
      <c r="H555" s="1" t="s">
        <v>2575</v>
      </c>
      <c r="I555" s="1"/>
      <c r="J555" s="1"/>
      <c r="K555">
        <v>0</v>
      </c>
      <c r="L555">
        <v>0</v>
      </c>
      <c r="N555" s="21">
        <v>44415.628849618057</v>
      </c>
      <c r="O555" s="21">
        <v>44415.628849618057</v>
      </c>
      <c r="P555" s="21"/>
      <c r="Q555">
        <v>0</v>
      </c>
      <c r="T555">
        <v>60</v>
      </c>
    </row>
    <row r="556" spans="1:20" x14ac:dyDescent="0.25">
      <c r="A556">
        <v>556</v>
      </c>
      <c r="B556" s="1" t="s">
        <v>2576</v>
      </c>
      <c r="C556" s="1"/>
      <c r="D556" s="1" t="s">
        <v>2577</v>
      </c>
      <c r="E556" s="1"/>
      <c r="F556" s="1"/>
      <c r="G556" s="1" t="s">
        <v>644</v>
      </c>
      <c r="H556" s="1" t="s">
        <v>2578</v>
      </c>
      <c r="I556" s="1"/>
      <c r="J556" s="1"/>
      <c r="K556">
        <v>0</v>
      </c>
      <c r="L556">
        <v>0</v>
      </c>
      <c r="N556" s="21">
        <v>44415.628849618057</v>
      </c>
      <c r="O556" s="21">
        <v>44415.628849618057</v>
      </c>
      <c r="P556" s="21"/>
      <c r="Q556">
        <v>0</v>
      </c>
      <c r="T556">
        <v>60</v>
      </c>
    </row>
    <row r="557" spans="1:20" x14ac:dyDescent="0.25">
      <c r="A557">
        <v>557</v>
      </c>
      <c r="B557" s="1" t="s">
        <v>2579</v>
      </c>
      <c r="C557" s="1" t="s">
        <v>2580</v>
      </c>
      <c r="D557" s="1" t="s">
        <v>2581</v>
      </c>
      <c r="E557" s="1" t="s">
        <v>2582</v>
      </c>
      <c r="F557" s="1"/>
      <c r="G557" s="1" t="s">
        <v>644</v>
      </c>
      <c r="H557" s="1" t="s">
        <v>2583</v>
      </c>
      <c r="I557" s="1" t="s">
        <v>568</v>
      </c>
      <c r="J557" s="1" t="s">
        <v>636</v>
      </c>
      <c r="K557">
        <v>0</v>
      </c>
      <c r="L557">
        <v>1</v>
      </c>
      <c r="M557">
        <v>167</v>
      </c>
      <c r="N557" s="21">
        <v>44415.628849618057</v>
      </c>
      <c r="O557" s="21">
        <v>44415.628849618057</v>
      </c>
      <c r="P557" s="21"/>
      <c r="Q557">
        <v>0</v>
      </c>
      <c r="T557">
        <v>60</v>
      </c>
    </row>
    <row r="558" spans="1:20" x14ac:dyDescent="0.25">
      <c r="A558">
        <v>558</v>
      </c>
      <c r="B558" s="1" t="s">
        <v>2584</v>
      </c>
      <c r="C558" s="1" t="s">
        <v>2585</v>
      </c>
      <c r="D558" s="1" t="s">
        <v>2586</v>
      </c>
      <c r="E558" s="1"/>
      <c r="F558" s="1"/>
      <c r="G558" s="1" t="s">
        <v>634</v>
      </c>
      <c r="H558" s="1" t="s">
        <v>2587</v>
      </c>
      <c r="I558" s="1" t="s">
        <v>568</v>
      </c>
      <c r="J558" s="1" t="s">
        <v>636</v>
      </c>
      <c r="K558">
        <v>0</v>
      </c>
      <c r="L558">
        <v>1</v>
      </c>
      <c r="M558">
        <v>3</v>
      </c>
      <c r="N558" s="21">
        <v>44415.628849618057</v>
      </c>
      <c r="O558" s="21">
        <v>44415.628849618057</v>
      </c>
      <c r="P558" s="21"/>
      <c r="Q558">
        <v>0</v>
      </c>
      <c r="T558">
        <v>60</v>
      </c>
    </row>
    <row r="559" spans="1:20" x14ac:dyDescent="0.25">
      <c r="A559">
        <v>559</v>
      </c>
      <c r="B559" s="1" t="s">
        <v>2588</v>
      </c>
      <c r="C559" s="1" t="s">
        <v>2589</v>
      </c>
      <c r="D559" s="1" t="s">
        <v>2590</v>
      </c>
      <c r="E559" s="1"/>
      <c r="F559" s="1" t="s">
        <v>2591</v>
      </c>
      <c r="G559" s="1" t="s">
        <v>634</v>
      </c>
      <c r="H559" s="1" t="s">
        <v>2592</v>
      </c>
      <c r="I559" s="1" t="s">
        <v>568</v>
      </c>
      <c r="J559" s="1" t="s">
        <v>2593</v>
      </c>
      <c r="K559">
        <v>0</v>
      </c>
      <c r="L559">
        <v>1</v>
      </c>
      <c r="M559">
        <v>112</v>
      </c>
      <c r="N559" s="21">
        <v>44415.628849618057</v>
      </c>
      <c r="O559" s="21">
        <v>44415.628849618057</v>
      </c>
      <c r="P559" s="21"/>
      <c r="Q559">
        <v>0</v>
      </c>
      <c r="T559">
        <v>60</v>
      </c>
    </row>
    <row r="560" spans="1:20" x14ac:dyDescent="0.25">
      <c r="A560">
        <v>560</v>
      </c>
      <c r="B560" s="1" t="s">
        <v>2594</v>
      </c>
      <c r="C560" s="1"/>
      <c r="D560" s="1" t="s">
        <v>2595</v>
      </c>
      <c r="E560" s="1"/>
      <c r="F560" s="1"/>
      <c r="G560" s="1" t="s">
        <v>634</v>
      </c>
      <c r="H560" s="1" t="s">
        <v>2596</v>
      </c>
      <c r="I560" s="1" t="s">
        <v>753</v>
      </c>
      <c r="J560" s="1" t="s">
        <v>641</v>
      </c>
      <c r="K560">
        <v>0</v>
      </c>
      <c r="L560">
        <v>1</v>
      </c>
      <c r="N560" s="21">
        <v>44415.628849618057</v>
      </c>
      <c r="O560" s="21">
        <v>44415.628849618057</v>
      </c>
      <c r="P560" s="21"/>
      <c r="Q560">
        <v>0</v>
      </c>
      <c r="T560">
        <v>60</v>
      </c>
    </row>
    <row r="561" spans="1:20" x14ac:dyDescent="0.25">
      <c r="A561">
        <v>561</v>
      </c>
      <c r="B561" s="1" t="s">
        <v>2597</v>
      </c>
      <c r="C561" s="1"/>
      <c r="D561" s="1" t="s">
        <v>2598</v>
      </c>
      <c r="E561" s="1"/>
      <c r="F561" s="1"/>
      <c r="G561" s="1" t="s">
        <v>634</v>
      </c>
      <c r="H561" s="1" t="s">
        <v>2599</v>
      </c>
      <c r="I561" s="1"/>
      <c r="J561" s="1"/>
      <c r="K561">
        <v>0</v>
      </c>
      <c r="L561">
        <v>0</v>
      </c>
      <c r="N561" s="21">
        <v>44415.628849618057</v>
      </c>
      <c r="O561" s="21">
        <v>44415.628849618057</v>
      </c>
      <c r="P561" s="21"/>
      <c r="Q561">
        <v>0</v>
      </c>
      <c r="T561">
        <v>60</v>
      </c>
    </row>
    <row r="562" spans="1:20" x14ac:dyDescent="0.25">
      <c r="A562">
        <v>562</v>
      </c>
      <c r="B562" s="1" t="s">
        <v>2600</v>
      </c>
      <c r="C562" s="1"/>
      <c r="D562" s="1" t="s">
        <v>2601</v>
      </c>
      <c r="E562" s="1"/>
      <c r="F562" s="1"/>
      <c r="G562" s="1" t="s">
        <v>644</v>
      </c>
      <c r="H562" s="1" t="s">
        <v>2602</v>
      </c>
      <c r="I562" s="1"/>
      <c r="J562" s="1"/>
      <c r="K562">
        <v>0</v>
      </c>
      <c r="L562">
        <v>0</v>
      </c>
      <c r="N562" s="21">
        <v>44415.628849618057</v>
      </c>
      <c r="O562" s="21">
        <v>44415.628849618057</v>
      </c>
      <c r="P562" s="21"/>
      <c r="Q562">
        <v>0</v>
      </c>
      <c r="T562">
        <v>60</v>
      </c>
    </row>
    <row r="563" spans="1:20" x14ac:dyDescent="0.25">
      <c r="A563">
        <v>563</v>
      </c>
      <c r="B563" s="1" t="s">
        <v>2603</v>
      </c>
      <c r="C563" s="1" t="s">
        <v>2604</v>
      </c>
      <c r="D563" s="1" t="s">
        <v>2605</v>
      </c>
      <c r="E563" s="1"/>
      <c r="F563" s="1"/>
      <c r="G563" s="1" t="s">
        <v>634</v>
      </c>
      <c r="H563" s="1" t="s">
        <v>2606</v>
      </c>
      <c r="I563" s="1" t="s">
        <v>568</v>
      </c>
      <c r="J563" s="1" t="s">
        <v>641</v>
      </c>
      <c r="K563">
        <v>0</v>
      </c>
      <c r="L563">
        <v>1</v>
      </c>
      <c r="N563" s="21">
        <v>44415.628849618057</v>
      </c>
      <c r="O563" s="21">
        <v>44415.628849618057</v>
      </c>
      <c r="P563" s="21"/>
      <c r="Q563">
        <v>0</v>
      </c>
      <c r="T563">
        <v>60</v>
      </c>
    </row>
    <row r="564" spans="1:20" x14ac:dyDescent="0.25">
      <c r="A564">
        <v>564</v>
      </c>
      <c r="B564" s="1" t="s">
        <v>2607</v>
      </c>
      <c r="C564" s="1"/>
      <c r="D564" s="1" t="s">
        <v>2608</v>
      </c>
      <c r="E564" s="1"/>
      <c r="F564" s="1"/>
      <c r="G564" s="1" t="s">
        <v>634</v>
      </c>
      <c r="H564" s="1" t="s">
        <v>2609</v>
      </c>
      <c r="I564" s="1" t="s">
        <v>1163</v>
      </c>
      <c r="J564" s="1" t="s">
        <v>641</v>
      </c>
      <c r="K564">
        <v>0</v>
      </c>
      <c r="L564">
        <v>1</v>
      </c>
      <c r="N564" s="21">
        <v>44415.628849618057</v>
      </c>
      <c r="O564" s="21">
        <v>44415.628849618057</v>
      </c>
      <c r="P564" s="21"/>
      <c r="Q564">
        <v>0</v>
      </c>
      <c r="T564">
        <v>60</v>
      </c>
    </row>
    <row r="565" spans="1:20" x14ac:dyDescent="0.25">
      <c r="A565">
        <v>565</v>
      </c>
      <c r="B565" s="1" t="s">
        <v>2610</v>
      </c>
      <c r="C565" s="1"/>
      <c r="D565" s="1" t="s">
        <v>2611</v>
      </c>
      <c r="E565" s="1"/>
      <c r="F565" s="1"/>
      <c r="G565" s="1" t="s">
        <v>634</v>
      </c>
      <c r="H565" s="1" t="s">
        <v>2612</v>
      </c>
      <c r="I565" s="1" t="s">
        <v>782</v>
      </c>
      <c r="J565" s="1" t="s">
        <v>641</v>
      </c>
      <c r="K565">
        <v>0</v>
      </c>
      <c r="L565">
        <v>0</v>
      </c>
      <c r="N565" s="21">
        <v>44415.628849618057</v>
      </c>
      <c r="O565" s="21">
        <v>44415.628849618057</v>
      </c>
      <c r="P565" s="21"/>
      <c r="Q565">
        <v>0</v>
      </c>
      <c r="T565">
        <v>60</v>
      </c>
    </row>
    <row r="566" spans="1:20" x14ac:dyDescent="0.25">
      <c r="A566">
        <v>566</v>
      </c>
      <c r="B566" s="1" t="s">
        <v>2613</v>
      </c>
      <c r="C566" s="1"/>
      <c r="D566" s="1" t="s">
        <v>2614</v>
      </c>
      <c r="E566" s="1"/>
      <c r="F566" s="1"/>
      <c r="G566" s="1" t="s">
        <v>634</v>
      </c>
      <c r="H566" s="1" t="s">
        <v>2615</v>
      </c>
      <c r="I566" s="1"/>
      <c r="J566" s="1" t="s">
        <v>641</v>
      </c>
      <c r="K566">
        <v>0</v>
      </c>
      <c r="L566">
        <v>0</v>
      </c>
      <c r="N566" s="21">
        <v>44415.628849618057</v>
      </c>
      <c r="O566" s="21">
        <v>44415.628849618057</v>
      </c>
      <c r="P566" s="21"/>
      <c r="Q566">
        <v>0</v>
      </c>
      <c r="T566">
        <v>60</v>
      </c>
    </row>
    <row r="567" spans="1:20" x14ac:dyDescent="0.25">
      <c r="A567">
        <v>567</v>
      </c>
      <c r="B567" s="1" t="s">
        <v>2616</v>
      </c>
      <c r="C567" s="1"/>
      <c r="D567" s="1" t="s">
        <v>2617</v>
      </c>
      <c r="E567" s="1"/>
      <c r="F567" s="1"/>
      <c r="G567" s="1" t="s">
        <v>644</v>
      </c>
      <c r="H567" s="1" t="s">
        <v>2618</v>
      </c>
      <c r="I567" s="1" t="s">
        <v>568</v>
      </c>
      <c r="J567" s="1" t="s">
        <v>636</v>
      </c>
      <c r="K567">
        <v>0</v>
      </c>
      <c r="L567">
        <v>0</v>
      </c>
      <c r="N567" s="21">
        <v>44415.628849618057</v>
      </c>
      <c r="O567" s="21">
        <v>44415.628849618057</v>
      </c>
      <c r="P567" s="21"/>
      <c r="Q567">
        <v>0</v>
      </c>
      <c r="T567">
        <v>60</v>
      </c>
    </row>
    <row r="568" spans="1:20" x14ac:dyDescent="0.25">
      <c r="A568">
        <v>568</v>
      </c>
      <c r="B568" s="1" t="s">
        <v>2619</v>
      </c>
      <c r="C568" s="1"/>
      <c r="D568" s="1" t="s">
        <v>2620</v>
      </c>
      <c r="E568" s="1"/>
      <c r="F568" s="1"/>
      <c r="G568" s="1" t="s">
        <v>634</v>
      </c>
      <c r="H568" s="1" t="s">
        <v>2621</v>
      </c>
      <c r="I568" s="1" t="s">
        <v>568</v>
      </c>
      <c r="J568" s="1" t="s">
        <v>702</v>
      </c>
      <c r="K568">
        <v>0</v>
      </c>
      <c r="L568">
        <v>0</v>
      </c>
      <c r="N568" s="21">
        <v>44415.628849618057</v>
      </c>
      <c r="O568" s="21">
        <v>44415.628849618057</v>
      </c>
      <c r="P568" s="21"/>
      <c r="Q568">
        <v>0</v>
      </c>
      <c r="T568">
        <v>60</v>
      </c>
    </row>
    <row r="569" spans="1:20" x14ac:dyDescent="0.25">
      <c r="A569">
        <v>569</v>
      </c>
      <c r="B569" s="1" t="s">
        <v>2622</v>
      </c>
      <c r="C569" s="1"/>
      <c r="D569" s="1" t="s">
        <v>2623</v>
      </c>
      <c r="E569" s="1"/>
      <c r="F569" s="1"/>
      <c r="G569" s="1" t="s">
        <v>644</v>
      </c>
      <c r="H569" s="1" t="s">
        <v>2624</v>
      </c>
      <c r="I569" s="1"/>
      <c r="J569" s="1"/>
      <c r="K569">
        <v>0</v>
      </c>
      <c r="L569">
        <v>0</v>
      </c>
      <c r="N569" s="21">
        <v>44415.628849618057</v>
      </c>
      <c r="O569" s="21">
        <v>44415.628849618057</v>
      </c>
      <c r="P569" s="21"/>
      <c r="Q569">
        <v>0</v>
      </c>
      <c r="T569">
        <v>60</v>
      </c>
    </row>
    <row r="570" spans="1:20" x14ac:dyDescent="0.25">
      <c r="A570">
        <v>570</v>
      </c>
      <c r="B570" s="1" t="s">
        <v>2625</v>
      </c>
      <c r="C570" s="1"/>
      <c r="D570" s="1" t="s">
        <v>2626</v>
      </c>
      <c r="E570" s="1"/>
      <c r="F570" s="1"/>
      <c r="G570" s="1" t="s">
        <v>644</v>
      </c>
      <c r="H570" s="1" t="s">
        <v>2627</v>
      </c>
      <c r="I570" s="1" t="s">
        <v>690</v>
      </c>
      <c r="J570" s="1" t="s">
        <v>641</v>
      </c>
      <c r="K570">
        <v>0</v>
      </c>
      <c r="L570">
        <v>0</v>
      </c>
      <c r="N570" s="21">
        <v>44415.628849618057</v>
      </c>
      <c r="O570" s="21">
        <v>44415.628849618057</v>
      </c>
      <c r="P570" s="21"/>
      <c r="Q570">
        <v>0</v>
      </c>
      <c r="T570">
        <v>60</v>
      </c>
    </row>
    <row r="571" spans="1:20" x14ac:dyDescent="0.25">
      <c r="A571">
        <v>571</v>
      </c>
      <c r="B571" s="1" t="s">
        <v>2628</v>
      </c>
      <c r="C571" s="1"/>
      <c r="D571" s="1" t="s">
        <v>2629</v>
      </c>
      <c r="E571" s="1"/>
      <c r="F571" s="1"/>
      <c r="G571" s="1" t="s">
        <v>644</v>
      </c>
      <c r="H571" s="1" t="s">
        <v>2630</v>
      </c>
      <c r="I571" s="1"/>
      <c r="J571" s="1"/>
      <c r="K571">
        <v>0</v>
      </c>
      <c r="L571">
        <v>0</v>
      </c>
      <c r="N571" s="21">
        <v>44415.628849618057</v>
      </c>
      <c r="O571" s="21">
        <v>44415.628849618057</v>
      </c>
      <c r="P571" s="21"/>
      <c r="Q571">
        <v>0</v>
      </c>
      <c r="T571">
        <v>60</v>
      </c>
    </row>
    <row r="572" spans="1:20" x14ac:dyDescent="0.25">
      <c r="A572">
        <v>572</v>
      </c>
      <c r="B572" s="1" t="s">
        <v>2631</v>
      </c>
      <c r="C572" s="1" t="s">
        <v>2632</v>
      </c>
      <c r="D572" s="1" t="s">
        <v>2633</v>
      </c>
      <c r="E572" s="1"/>
      <c r="F572" s="1"/>
      <c r="G572" s="1" t="s">
        <v>634</v>
      </c>
      <c r="H572" s="1" t="s">
        <v>2634</v>
      </c>
      <c r="I572" s="1"/>
      <c r="J572" s="1" t="s">
        <v>636</v>
      </c>
      <c r="K572">
        <v>0</v>
      </c>
      <c r="L572">
        <v>1</v>
      </c>
      <c r="M572">
        <v>1927</v>
      </c>
      <c r="N572" s="21">
        <v>44415.628849618057</v>
      </c>
      <c r="O572" s="21">
        <v>44415.628849618057</v>
      </c>
      <c r="P572" s="21"/>
      <c r="Q572">
        <v>0</v>
      </c>
      <c r="T572">
        <v>60</v>
      </c>
    </row>
    <row r="573" spans="1:20" x14ac:dyDescent="0.25">
      <c r="A573">
        <v>573</v>
      </c>
      <c r="B573" s="1" t="s">
        <v>2635</v>
      </c>
      <c r="C573" s="1"/>
      <c r="D573" s="1" t="s">
        <v>2636</v>
      </c>
      <c r="E573" s="1"/>
      <c r="F573" s="1"/>
      <c r="G573" s="1" t="s">
        <v>634</v>
      </c>
      <c r="H573" s="1" t="s">
        <v>2637</v>
      </c>
      <c r="I573" s="1" t="s">
        <v>808</v>
      </c>
      <c r="J573" s="1"/>
      <c r="K573">
        <v>0</v>
      </c>
      <c r="L573">
        <v>0</v>
      </c>
      <c r="N573" s="21">
        <v>44415.628849618057</v>
      </c>
      <c r="O573" s="21">
        <v>44415.628849618057</v>
      </c>
      <c r="P573" s="21"/>
      <c r="Q573">
        <v>0</v>
      </c>
      <c r="T573">
        <v>60</v>
      </c>
    </row>
    <row r="574" spans="1:20" x14ac:dyDescent="0.25">
      <c r="A574">
        <v>574</v>
      </c>
      <c r="B574" s="1" t="s">
        <v>2638</v>
      </c>
      <c r="C574" s="1" t="s">
        <v>2639</v>
      </c>
      <c r="D574" s="1" t="s">
        <v>2640</v>
      </c>
      <c r="E574" s="1"/>
      <c r="F574" s="1"/>
      <c r="G574" s="1" t="s">
        <v>634</v>
      </c>
      <c r="H574" s="1" t="s">
        <v>2641</v>
      </c>
      <c r="I574" s="1" t="s">
        <v>568</v>
      </c>
      <c r="J574" s="1" t="s">
        <v>636</v>
      </c>
      <c r="K574">
        <v>0</v>
      </c>
      <c r="L574">
        <v>1</v>
      </c>
      <c r="M574">
        <v>48</v>
      </c>
      <c r="N574" s="21">
        <v>44415.628849618057</v>
      </c>
      <c r="O574" s="21">
        <v>44415.628849618057</v>
      </c>
      <c r="P574" s="21"/>
      <c r="Q574">
        <v>0</v>
      </c>
      <c r="T574">
        <v>60</v>
      </c>
    </row>
    <row r="575" spans="1:20" x14ac:dyDescent="0.25">
      <c r="A575">
        <v>575</v>
      </c>
      <c r="B575" s="1" t="s">
        <v>2642</v>
      </c>
      <c r="C575" s="1"/>
      <c r="D575" s="1" t="s">
        <v>2643</v>
      </c>
      <c r="E575" s="1"/>
      <c r="F575" s="1"/>
      <c r="G575" s="1" t="s">
        <v>634</v>
      </c>
      <c r="H575" s="1" t="s">
        <v>2644</v>
      </c>
      <c r="I575" s="1" t="s">
        <v>568</v>
      </c>
      <c r="J575" s="1"/>
      <c r="K575">
        <v>0</v>
      </c>
      <c r="L575">
        <v>1</v>
      </c>
      <c r="N575" s="21">
        <v>44415.628849618057</v>
      </c>
      <c r="O575" s="21">
        <v>44415.628849618057</v>
      </c>
      <c r="P575" s="21"/>
      <c r="Q575">
        <v>0</v>
      </c>
      <c r="T575">
        <v>60</v>
      </c>
    </row>
    <row r="576" spans="1:20" x14ac:dyDescent="0.25">
      <c r="A576">
        <v>576</v>
      </c>
      <c r="B576" s="1" t="s">
        <v>2645</v>
      </c>
      <c r="C576" s="1"/>
      <c r="D576" s="1" t="s">
        <v>2646</v>
      </c>
      <c r="E576" s="1"/>
      <c r="F576" s="1"/>
      <c r="G576" s="1" t="s">
        <v>644</v>
      </c>
      <c r="H576" s="1" t="s">
        <v>2647</v>
      </c>
      <c r="I576" s="1" t="s">
        <v>568</v>
      </c>
      <c r="J576" s="1" t="s">
        <v>641</v>
      </c>
      <c r="K576">
        <v>0</v>
      </c>
      <c r="L576">
        <v>0</v>
      </c>
      <c r="N576" s="21">
        <v>44415.628849618057</v>
      </c>
      <c r="O576" s="21">
        <v>44415.628849618057</v>
      </c>
      <c r="P576" s="21"/>
      <c r="Q576">
        <v>0</v>
      </c>
      <c r="T576">
        <v>60</v>
      </c>
    </row>
    <row r="577" spans="1:20" x14ac:dyDescent="0.25">
      <c r="A577">
        <v>577</v>
      </c>
      <c r="B577" s="1" t="s">
        <v>2648</v>
      </c>
      <c r="C577" s="1"/>
      <c r="D577" s="1" t="s">
        <v>2649</v>
      </c>
      <c r="E577" s="1"/>
      <c r="F577" s="1"/>
      <c r="G577" s="1" t="s">
        <v>634</v>
      </c>
      <c r="H577" s="1" t="s">
        <v>2650</v>
      </c>
      <c r="I577" s="1"/>
      <c r="J577" s="1"/>
      <c r="K577">
        <v>0</v>
      </c>
      <c r="L577">
        <v>0</v>
      </c>
      <c r="N577" s="21">
        <v>44415.628849618057</v>
      </c>
      <c r="O577" s="21">
        <v>44415.628849618057</v>
      </c>
      <c r="P577" s="21"/>
      <c r="Q577">
        <v>0</v>
      </c>
      <c r="T577">
        <v>60</v>
      </c>
    </row>
    <row r="578" spans="1:20" x14ac:dyDescent="0.25">
      <c r="A578">
        <v>578</v>
      </c>
      <c r="B578" s="1" t="s">
        <v>2651</v>
      </c>
      <c r="C578" s="1" t="s">
        <v>2652</v>
      </c>
      <c r="D578" s="1" t="s">
        <v>2653</v>
      </c>
      <c r="E578" s="1" t="s">
        <v>2654</v>
      </c>
      <c r="F578" s="1"/>
      <c r="G578" s="1" t="s">
        <v>634</v>
      </c>
      <c r="H578" s="1" t="s">
        <v>2655</v>
      </c>
      <c r="I578" s="1" t="s">
        <v>1786</v>
      </c>
      <c r="J578" s="1"/>
      <c r="K578">
        <v>0</v>
      </c>
      <c r="L578">
        <v>0</v>
      </c>
      <c r="N578" s="21">
        <v>44415.628849618057</v>
      </c>
      <c r="O578" s="21">
        <v>44415.628849618057</v>
      </c>
      <c r="P578" s="21"/>
      <c r="Q578">
        <v>0</v>
      </c>
      <c r="T578">
        <v>30</v>
      </c>
    </row>
    <row r="579" spans="1:20" x14ac:dyDescent="0.25">
      <c r="A579">
        <v>579</v>
      </c>
      <c r="B579" s="1" t="s">
        <v>2656</v>
      </c>
      <c r="C579" s="1"/>
      <c r="D579" s="1" t="s">
        <v>2657</v>
      </c>
      <c r="E579" s="1"/>
      <c r="F579" s="1" t="s">
        <v>2658</v>
      </c>
      <c r="G579" s="1" t="s">
        <v>644</v>
      </c>
      <c r="H579" s="1" t="s">
        <v>2659</v>
      </c>
      <c r="I579" s="1" t="s">
        <v>808</v>
      </c>
      <c r="J579" s="1"/>
      <c r="K579">
        <v>0</v>
      </c>
      <c r="L579">
        <v>0</v>
      </c>
      <c r="N579" s="21">
        <v>44415.628849618057</v>
      </c>
      <c r="O579" s="21">
        <v>44415.628849618057</v>
      </c>
      <c r="P579" s="21"/>
      <c r="Q579">
        <v>0</v>
      </c>
      <c r="T579">
        <v>60</v>
      </c>
    </row>
    <row r="580" spans="1:20" x14ac:dyDescent="0.25">
      <c r="A580">
        <v>580</v>
      </c>
      <c r="B580" s="1" t="s">
        <v>2660</v>
      </c>
      <c r="C580" s="1"/>
      <c r="D580" s="1" t="s">
        <v>2661</v>
      </c>
      <c r="E580" s="1" t="s">
        <v>2662</v>
      </c>
      <c r="F580" s="1"/>
      <c r="G580" s="1" t="s">
        <v>634</v>
      </c>
      <c r="H580" s="1" t="s">
        <v>2663</v>
      </c>
      <c r="I580" s="1" t="s">
        <v>568</v>
      </c>
      <c r="J580" s="1"/>
      <c r="K580">
        <v>0</v>
      </c>
      <c r="L580">
        <v>0</v>
      </c>
      <c r="N580" s="21">
        <v>44415.628849618057</v>
      </c>
      <c r="O580" s="21">
        <v>44415.628849618057</v>
      </c>
      <c r="P580" s="21"/>
      <c r="Q580">
        <v>0</v>
      </c>
      <c r="T580">
        <v>60</v>
      </c>
    </row>
    <row r="581" spans="1:20" x14ac:dyDescent="0.25">
      <c r="A581">
        <v>581</v>
      </c>
      <c r="B581" s="1" t="s">
        <v>2664</v>
      </c>
      <c r="C581" s="1"/>
      <c r="D581" s="1" t="s">
        <v>2665</v>
      </c>
      <c r="E581" s="1"/>
      <c r="F581" s="1"/>
      <c r="G581" s="1" t="s">
        <v>634</v>
      </c>
      <c r="H581" s="1" t="s">
        <v>2666</v>
      </c>
      <c r="I581" s="1"/>
      <c r="J581" s="1"/>
      <c r="K581">
        <v>0</v>
      </c>
      <c r="L581">
        <v>0</v>
      </c>
      <c r="N581" s="21">
        <v>44415.628849618057</v>
      </c>
      <c r="O581" s="21">
        <v>44415.628849618057</v>
      </c>
      <c r="P581" s="21"/>
      <c r="Q581">
        <v>0</v>
      </c>
      <c r="T581">
        <v>60</v>
      </c>
    </row>
    <row r="582" spans="1:20" x14ac:dyDescent="0.25">
      <c r="A582">
        <v>582</v>
      </c>
      <c r="B582" s="1" t="s">
        <v>2667</v>
      </c>
      <c r="C582" s="1"/>
      <c r="D582" s="1" t="s">
        <v>2668</v>
      </c>
      <c r="E582" s="1"/>
      <c r="F582" s="1"/>
      <c r="G582" s="1" t="s">
        <v>644</v>
      </c>
      <c r="H582" s="1" t="s">
        <v>2669</v>
      </c>
      <c r="I582" s="1"/>
      <c r="J582" s="1"/>
      <c r="K582">
        <v>0</v>
      </c>
      <c r="L582">
        <v>0</v>
      </c>
      <c r="N582" s="21">
        <v>44415.628849618057</v>
      </c>
      <c r="O582" s="21">
        <v>44415.628849618057</v>
      </c>
      <c r="P582" s="21"/>
      <c r="Q582">
        <v>0</v>
      </c>
      <c r="T582">
        <v>60</v>
      </c>
    </row>
    <row r="583" spans="1:20" x14ac:dyDescent="0.25">
      <c r="A583">
        <v>583</v>
      </c>
      <c r="B583" s="1" t="s">
        <v>2670</v>
      </c>
      <c r="C583" s="1"/>
      <c r="D583" s="1" t="s">
        <v>2671</v>
      </c>
      <c r="E583" s="1"/>
      <c r="F583" s="1"/>
      <c r="G583" s="1"/>
      <c r="H583" s="1" t="s">
        <v>2672</v>
      </c>
      <c r="I583" s="1"/>
      <c r="J583" s="1"/>
      <c r="K583">
        <v>0</v>
      </c>
      <c r="L583">
        <v>0</v>
      </c>
      <c r="N583" s="21">
        <v>44415.628849618057</v>
      </c>
      <c r="O583" s="21">
        <v>44415.628849618057</v>
      </c>
      <c r="P583" s="21"/>
      <c r="Q583">
        <v>0</v>
      </c>
      <c r="T583">
        <v>60</v>
      </c>
    </row>
    <row r="584" spans="1:20" x14ac:dyDescent="0.25">
      <c r="A584">
        <v>584</v>
      </c>
      <c r="B584" s="1" t="s">
        <v>2673</v>
      </c>
      <c r="C584" s="1"/>
      <c r="D584" s="1" t="s">
        <v>2674</v>
      </c>
      <c r="E584" s="1"/>
      <c r="F584" s="1" t="s">
        <v>2675</v>
      </c>
      <c r="G584" s="1" t="s">
        <v>644</v>
      </c>
      <c r="H584" s="1" t="s">
        <v>2676</v>
      </c>
      <c r="I584" s="1" t="s">
        <v>568</v>
      </c>
      <c r="J584" s="1"/>
      <c r="K584">
        <v>0</v>
      </c>
      <c r="L584">
        <v>0</v>
      </c>
      <c r="N584" s="21">
        <v>44415.628849618057</v>
      </c>
      <c r="O584" s="21">
        <v>44415.628849618057</v>
      </c>
      <c r="P584" s="21"/>
      <c r="Q584">
        <v>0</v>
      </c>
      <c r="T584">
        <v>60</v>
      </c>
    </row>
    <row r="585" spans="1:20" x14ac:dyDescent="0.25">
      <c r="A585">
        <v>585</v>
      </c>
      <c r="B585" s="1" t="s">
        <v>2677</v>
      </c>
      <c r="C585" s="1"/>
      <c r="D585" s="1" t="s">
        <v>2678</v>
      </c>
      <c r="E585" s="1"/>
      <c r="F585" s="1"/>
      <c r="G585" s="1"/>
      <c r="H585" s="1" t="s">
        <v>2679</v>
      </c>
      <c r="I585" s="1"/>
      <c r="J585" s="1"/>
      <c r="K585">
        <v>0</v>
      </c>
      <c r="L585">
        <v>0</v>
      </c>
      <c r="N585" s="21">
        <v>44415.628849618057</v>
      </c>
      <c r="O585" s="21">
        <v>44415.628849618057</v>
      </c>
      <c r="P585" s="21"/>
      <c r="Q585">
        <v>0</v>
      </c>
      <c r="T585">
        <v>60</v>
      </c>
    </row>
    <row r="586" spans="1:20" x14ac:dyDescent="0.25">
      <c r="A586">
        <v>586</v>
      </c>
      <c r="B586" s="1" t="s">
        <v>2680</v>
      </c>
      <c r="C586" s="1"/>
      <c r="D586" s="1" t="s">
        <v>2681</v>
      </c>
      <c r="E586" s="1"/>
      <c r="F586" s="1"/>
      <c r="G586" s="1" t="s">
        <v>644</v>
      </c>
      <c r="H586" s="1" t="s">
        <v>2682</v>
      </c>
      <c r="I586" s="1" t="s">
        <v>995</v>
      </c>
      <c r="J586" s="1" t="s">
        <v>2683</v>
      </c>
      <c r="K586">
        <v>0</v>
      </c>
      <c r="L586">
        <v>1</v>
      </c>
      <c r="N586" s="21">
        <v>44415.628849618057</v>
      </c>
      <c r="O586" s="21">
        <v>44415.628849618057</v>
      </c>
      <c r="P586" s="21"/>
      <c r="Q586">
        <v>0</v>
      </c>
      <c r="T586">
        <v>60</v>
      </c>
    </row>
    <row r="587" spans="1:20" x14ac:dyDescent="0.25">
      <c r="A587">
        <v>587</v>
      </c>
      <c r="B587" s="1" t="s">
        <v>2684</v>
      </c>
      <c r="C587" s="1"/>
      <c r="D587" s="1" t="s">
        <v>2685</v>
      </c>
      <c r="E587" s="1"/>
      <c r="F587" s="1"/>
      <c r="G587" s="1" t="s">
        <v>634</v>
      </c>
      <c r="H587" s="1" t="s">
        <v>2686</v>
      </c>
      <c r="I587" s="1"/>
      <c r="J587" s="1"/>
      <c r="K587">
        <v>0</v>
      </c>
      <c r="L587">
        <v>1</v>
      </c>
      <c r="N587" s="21">
        <v>44415.628849618057</v>
      </c>
      <c r="O587" s="21">
        <v>44415.628849618057</v>
      </c>
      <c r="P587" s="21"/>
      <c r="Q587">
        <v>0</v>
      </c>
      <c r="T587">
        <v>60</v>
      </c>
    </row>
    <row r="588" spans="1:20" x14ac:dyDescent="0.25">
      <c r="A588">
        <v>588</v>
      </c>
      <c r="B588" s="1" t="s">
        <v>2687</v>
      </c>
      <c r="C588" s="1"/>
      <c r="D588" s="1" t="s">
        <v>2688</v>
      </c>
      <c r="E588" s="1"/>
      <c r="F588" s="1"/>
      <c r="G588" s="1" t="s">
        <v>644</v>
      </c>
      <c r="H588" s="1" t="s">
        <v>2689</v>
      </c>
      <c r="I588" s="1" t="s">
        <v>568</v>
      </c>
      <c r="J588" s="1" t="s">
        <v>636</v>
      </c>
      <c r="K588">
        <v>0</v>
      </c>
      <c r="L588">
        <v>0</v>
      </c>
      <c r="N588" s="21">
        <v>44415.628849618057</v>
      </c>
      <c r="O588" s="21">
        <v>44415.628849618057</v>
      </c>
      <c r="P588" s="21"/>
      <c r="Q588">
        <v>0</v>
      </c>
      <c r="T588">
        <v>60</v>
      </c>
    </row>
    <row r="589" spans="1:20" x14ac:dyDescent="0.25">
      <c r="A589">
        <v>589</v>
      </c>
      <c r="B589" s="1" t="s">
        <v>2690</v>
      </c>
      <c r="C589" s="1"/>
      <c r="D589" s="1" t="s">
        <v>2691</v>
      </c>
      <c r="E589" s="1"/>
      <c r="F589" s="1"/>
      <c r="G589" s="1" t="s">
        <v>644</v>
      </c>
      <c r="H589" s="1" t="s">
        <v>2692</v>
      </c>
      <c r="I589" s="1"/>
      <c r="J589" s="1"/>
      <c r="K589">
        <v>0</v>
      </c>
      <c r="L589">
        <v>0</v>
      </c>
      <c r="N589" s="21">
        <v>44415.628849618057</v>
      </c>
      <c r="O589" s="21">
        <v>44415.628849618057</v>
      </c>
      <c r="P589" s="21"/>
      <c r="Q589">
        <v>0</v>
      </c>
      <c r="T589">
        <v>60</v>
      </c>
    </row>
    <row r="590" spans="1:20" x14ac:dyDescent="0.25">
      <c r="A590">
        <v>590</v>
      </c>
      <c r="B590" s="1" t="s">
        <v>2693</v>
      </c>
      <c r="C590" s="1" t="s">
        <v>2694</v>
      </c>
      <c r="D590" s="1" t="s">
        <v>2695</v>
      </c>
      <c r="E590" s="1"/>
      <c r="F590" s="1"/>
      <c r="G590" s="1" t="s">
        <v>634</v>
      </c>
      <c r="H590" s="1" t="s">
        <v>2696</v>
      </c>
      <c r="I590" s="1" t="s">
        <v>568</v>
      </c>
      <c r="J590" s="1" t="s">
        <v>641</v>
      </c>
      <c r="K590">
        <v>0</v>
      </c>
      <c r="L590">
        <v>1</v>
      </c>
      <c r="M590">
        <v>58</v>
      </c>
      <c r="N590" s="21">
        <v>44415.628849618057</v>
      </c>
      <c r="O590" s="21">
        <v>44415.628849618057</v>
      </c>
      <c r="P590" s="21"/>
      <c r="Q590">
        <v>0</v>
      </c>
      <c r="T590">
        <v>60</v>
      </c>
    </row>
    <row r="591" spans="1:20" x14ac:dyDescent="0.25">
      <c r="A591">
        <v>591</v>
      </c>
      <c r="B591" s="1" t="s">
        <v>2697</v>
      </c>
      <c r="C591" s="1"/>
      <c r="D591" s="1" t="s">
        <v>2698</v>
      </c>
      <c r="E591" s="1"/>
      <c r="F591" s="1"/>
      <c r="G591" s="1"/>
      <c r="H591" s="1" t="s">
        <v>2699</v>
      </c>
      <c r="I591" s="1"/>
      <c r="J591" s="1"/>
      <c r="K591">
        <v>0</v>
      </c>
      <c r="L591">
        <v>0</v>
      </c>
      <c r="N591" s="21">
        <v>44415.628849618057</v>
      </c>
      <c r="O591" s="21">
        <v>44415.628849618057</v>
      </c>
      <c r="P591" s="21"/>
      <c r="Q591">
        <v>0</v>
      </c>
      <c r="T591">
        <v>60</v>
      </c>
    </row>
    <row r="592" spans="1:20" x14ac:dyDescent="0.25">
      <c r="A592">
        <v>592</v>
      </c>
      <c r="B592" s="1" t="s">
        <v>2700</v>
      </c>
      <c r="C592" s="1"/>
      <c r="D592" s="1" t="s">
        <v>2701</v>
      </c>
      <c r="E592" s="1"/>
      <c r="F592" s="1" t="s">
        <v>2702</v>
      </c>
      <c r="G592" s="1"/>
      <c r="H592" s="1" t="s">
        <v>2703</v>
      </c>
      <c r="I592" s="1"/>
      <c r="J592" s="1"/>
      <c r="K592">
        <v>0</v>
      </c>
      <c r="L592">
        <v>0</v>
      </c>
      <c r="N592" s="21">
        <v>44415.628849618057</v>
      </c>
      <c r="O592" s="21">
        <v>44415.628849618057</v>
      </c>
      <c r="P592" s="21"/>
      <c r="Q592">
        <v>0</v>
      </c>
      <c r="T592">
        <v>60</v>
      </c>
    </row>
    <row r="593" spans="1:20" x14ac:dyDescent="0.25">
      <c r="A593">
        <v>593</v>
      </c>
      <c r="B593" s="1" t="s">
        <v>2704</v>
      </c>
      <c r="C593" s="1"/>
      <c r="D593" s="1" t="s">
        <v>2705</v>
      </c>
      <c r="E593" s="1"/>
      <c r="F593" s="1"/>
      <c r="G593" s="1" t="s">
        <v>713</v>
      </c>
      <c r="H593" s="1" t="s">
        <v>2706</v>
      </c>
      <c r="I593" s="1" t="s">
        <v>568</v>
      </c>
      <c r="J593" s="1" t="s">
        <v>636</v>
      </c>
      <c r="K593">
        <v>0</v>
      </c>
      <c r="L593">
        <v>0</v>
      </c>
      <c r="N593" s="21">
        <v>44415.628849618057</v>
      </c>
      <c r="O593" s="21">
        <v>44415.628849618057</v>
      </c>
      <c r="P593" s="21"/>
      <c r="Q593">
        <v>0</v>
      </c>
      <c r="T593">
        <v>60</v>
      </c>
    </row>
    <row r="594" spans="1:20" x14ac:dyDescent="0.25">
      <c r="A594">
        <v>594</v>
      </c>
      <c r="B594" s="1" t="s">
        <v>2707</v>
      </c>
      <c r="C594" s="1"/>
      <c r="D594" s="1" t="s">
        <v>2708</v>
      </c>
      <c r="E594" s="1"/>
      <c r="F594" s="1"/>
      <c r="G594" s="1"/>
      <c r="H594" s="1" t="s">
        <v>2709</v>
      </c>
      <c r="I594" s="1"/>
      <c r="J594" s="1"/>
      <c r="K594">
        <v>0</v>
      </c>
      <c r="L594">
        <v>0</v>
      </c>
      <c r="N594" s="21">
        <v>44415.628849618057</v>
      </c>
      <c r="O594" s="21">
        <v>44415.628849618057</v>
      </c>
      <c r="P594" s="21"/>
      <c r="Q594">
        <v>0</v>
      </c>
      <c r="T594">
        <v>60</v>
      </c>
    </row>
    <row r="595" spans="1:20" x14ac:dyDescent="0.25">
      <c r="A595">
        <v>595</v>
      </c>
      <c r="B595" s="1" t="s">
        <v>2710</v>
      </c>
      <c r="C595" s="1"/>
      <c r="D595" s="1" t="s">
        <v>2711</v>
      </c>
      <c r="E595" s="1"/>
      <c r="F595" s="1" t="s">
        <v>2712</v>
      </c>
      <c r="G595" s="1" t="s">
        <v>713</v>
      </c>
      <c r="H595" s="1" t="s">
        <v>2713</v>
      </c>
      <c r="I595" s="1"/>
      <c r="J595" s="1" t="s">
        <v>641</v>
      </c>
      <c r="K595">
        <v>0</v>
      </c>
      <c r="L595">
        <v>0</v>
      </c>
      <c r="N595" s="21">
        <v>44415.628849618057</v>
      </c>
      <c r="O595" s="21">
        <v>44415.628849618057</v>
      </c>
      <c r="P595" s="21"/>
      <c r="Q595">
        <v>0</v>
      </c>
      <c r="T595">
        <v>60</v>
      </c>
    </row>
    <row r="596" spans="1:20" x14ac:dyDescent="0.25">
      <c r="A596">
        <v>596</v>
      </c>
      <c r="B596" s="1" t="s">
        <v>2714</v>
      </c>
      <c r="C596" s="1"/>
      <c r="D596" s="1" t="s">
        <v>2715</v>
      </c>
      <c r="E596" s="1"/>
      <c r="F596" s="1"/>
      <c r="G596" s="1" t="s">
        <v>634</v>
      </c>
      <c r="H596" s="1" t="s">
        <v>2716</v>
      </c>
      <c r="I596" s="1"/>
      <c r="J596" s="1"/>
      <c r="K596">
        <v>0</v>
      </c>
      <c r="L596">
        <v>0</v>
      </c>
      <c r="N596" s="21">
        <v>44415.628849618057</v>
      </c>
      <c r="O596" s="21">
        <v>44415.628849618057</v>
      </c>
      <c r="P596" s="21"/>
      <c r="Q596">
        <v>0</v>
      </c>
      <c r="T596">
        <v>60</v>
      </c>
    </row>
    <row r="597" spans="1:20" x14ac:dyDescent="0.25">
      <c r="A597">
        <v>597</v>
      </c>
      <c r="B597" s="1" t="s">
        <v>2717</v>
      </c>
      <c r="C597" s="1"/>
      <c r="D597" s="1" t="s">
        <v>2718</v>
      </c>
      <c r="E597" s="1"/>
      <c r="F597" s="1"/>
      <c r="G597" s="1" t="s">
        <v>713</v>
      </c>
      <c r="H597" s="1" t="s">
        <v>2719</v>
      </c>
      <c r="I597" s="1"/>
      <c r="J597" s="1"/>
      <c r="K597">
        <v>0</v>
      </c>
      <c r="L597">
        <v>0</v>
      </c>
      <c r="N597" s="21">
        <v>44415.628849618057</v>
      </c>
      <c r="O597" s="21">
        <v>44415.628849618057</v>
      </c>
      <c r="P597" s="21"/>
      <c r="Q597">
        <v>0</v>
      </c>
      <c r="T597">
        <v>60</v>
      </c>
    </row>
    <row r="598" spans="1:20" x14ac:dyDescent="0.25">
      <c r="A598">
        <v>598</v>
      </c>
      <c r="B598" s="1" t="s">
        <v>2720</v>
      </c>
      <c r="C598" s="1" t="s">
        <v>2721</v>
      </c>
      <c r="D598" s="1" t="s">
        <v>2722</v>
      </c>
      <c r="E598" s="1" t="s">
        <v>2720</v>
      </c>
      <c r="F598" s="1"/>
      <c r="G598" s="1" t="s">
        <v>713</v>
      </c>
      <c r="H598" s="1" t="s">
        <v>2723</v>
      </c>
      <c r="I598" s="1"/>
      <c r="J598" s="1" t="s">
        <v>636</v>
      </c>
      <c r="K598">
        <v>1</v>
      </c>
      <c r="L598">
        <v>0</v>
      </c>
      <c r="N598" s="21">
        <v>44415.628849618057</v>
      </c>
      <c r="O598" s="21">
        <v>44415.628849618057</v>
      </c>
      <c r="P598" s="21"/>
      <c r="Q598">
        <v>0</v>
      </c>
      <c r="T598">
        <v>60</v>
      </c>
    </row>
    <row r="599" spans="1:20" x14ac:dyDescent="0.25">
      <c r="A599">
        <v>599</v>
      </c>
      <c r="B599" s="1" t="s">
        <v>2724</v>
      </c>
      <c r="C599" s="1"/>
      <c r="D599" s="1" t="s">
        <v>2725</v>
      </c>
      <c r="E599" s="1"/>
      <c r="F599" s="1"/>
      <c r="G599" s="1" t="s">
        <v>713</v>
      </c>
      <c r="H599" s="1" t="s">
        <v>2726</v>
      </c>
      <c r="I599" s="1"/>
      <c r="J599" s="1"/>
      <c r="K599">
        <v>0</v>
      </c>
      <c r="L599">
        <v>0</v>
      </c>
      <c r="N599" s="21">
        <v>44415.628849618057</v>
      </c>
      <c r="O599" s="21">
        <v>44415.628849618057</v>
      </c>
      <c r="P599" s="21"/>
      <c r="Q599">
        <v>0</v>
      </c>
      <c r="T599">
        <v>60</v>
      </c>
    </row>
    <row r="600" spans="1:20" x14ac:dyDescent="0.25">
      <c r="A600">
        <v>600</v>
      </c>
      <c r="B600" s="1" t="s">
        <v>2727</v>
      </c>
      <c r="C600" s="1"/>
      <c r="D600" s="1" t="s">
        <v>2728</v>
      </c>
      <c r="E600" s="1"/>
      <c r="F600" s="1" t="s">
        <v>2729</v>
      </c>
      <c r="G600" s="1" t="s">
        <v>713</v>
      </c>
      <c r="H600" s="1" t="s">
        <v>2730</v>
      </c>
      <c r="I600" s="1"/>
      <c r="J600" s="1"/>
      <c r="K600">
        <v>0</v>
      </c>
      <c r="L600">
        <v>0</v>
      </c>
      <c r="N600" s="21">
        <v>44415.628849618057</v>
      </c>
      <c r="O600" s="21">
        <v>44415.628849618057</v>
      </c>
      <c r="P600" s="21"/>
      <c r="Q600">
        <v>0</v>
      </c>
      <c r="T600">
        <v>60</v>
      </c>
    </row>
    <row r="601" spans="1:20" x14ac:dyDescent="0.25">
      <c r="A601">
        <v>601</v>
      </c>
      <c r="B601" s="1" t="s">
        <v>2731</v>
      </c>
      <c r="C601" s="1"/>
      <c r="D601" s="1" t="s">
        <v>2732</v>
      </c>
      <c r="E601" s="1"/>
      <c r="F601" s="1"/>
      <c r="G601" s="1"/>
      <c r="H601" s="1" t="s">
        <v>2733</v>
      </c>
      <c r="I601" s="1"/>
      <c r="J601" s="1" t="s">
        <v>2734</v>
      </c>
      <c r="K601">
        <v>0</v>
      </c>
      <c r="L601">
        <v>0</v>
      </c>
      <c r="N601" s="21">
        <v>44415.628849618057</v>
      </c>
      <c r="O601" s="21">
        <v>44415.628849618057</v>
      </c>
      <c r="P601" s="21"/>
      <c r="Q601">
        <v>0</v>
      </c>
      <c r="T601">
        <v>60</v>
      </c>
    </row>
    <row r="602" spans="1:20" x14ac:dyDescent="0.25">
      <c r="A602">
        <v>602</v>
      </c>
      <c r="B602" s="1" t="s">
        <v>2735</v>
      </c>
      <c r="C602" s="1" t="s">
        <v>2736</v>
      </c>
      <c r="D602" s="1" t="s">
        <v>2737</v>
      </c>
      <c r="E602" s="1"/>
      <c r="F602" s="1"/>
      <c r="G602" s="1" t="s">
        <v>713</v>
      </c>
      <c r="H602" s="1" t="s">
        <v>2738</v>
      </c>
      <c r="I602" s="1"/>
      <c r="J602" s="1" t="s">
        <v>641</v>
      </c>
      <c r="K602">
        <v>1</v>
      </c>
      <c r="L602">
        <v>0</v>
      </c>
      <c r="N602" s="21">
        <v>44415.628849618057</v>
      </c>
      <c r="O602" s="21">
        <v>44415.628849618057</v>
      </c>
      <c r="P602" s="21"/>
      <c r="Q602">
        <v>0</v>
      </c>
      <c r="T602">
        <v>60</v>
      </c>
    </row>
    <row r="603" spans="1:20" x14ac:dyDescent="0.25">
      <c r="A603">
        <v>603</v>
      </c>
      <c r="B603" s="1" t="s">
        <v>2739</v>
      </c>
      <c r="C603" s="1"/>
      <c r="D603" s="1" t="s">
        <v>2740</v>
      </c>
      <c r="E603" s="1"/>
      <c r="F603" s="1"/>
      <c r="G603" s="1" t="s">
        <v>713</v>
      </c>
      <c r="H603" s="1" t="s">
        <v>2741</v>
      </c>
      <c r="I603" s="1"/>
      <c r="J603" s="1" t="s">
        <v>754</v>
      </c>
      <c r="K603">
        <v>0</v>
      </c>
      <c r="L603">
        <v>0</v>
      </c>
      <c r="N603" s="21">
        <v>44415.628849618057</v>
      </c>
      <c r="O603" s="21">
        <v>44415.628849618057</v>
      </c>
      <c r="P603" s="21"/>
      <c r="Q603">
        <v>0</v>
      </c>
      <c r="T603">
        <v>60</v>
      </c>
    </row>
    <row r="604" spans="1:20" x14ac:dyDescent="0.25">
      <c r="A604">
        <v>604</v>
      </c>
      <c r="B604" s="1" t="s">
        <v>2742</v>
      </c>
      <c r="C604" s="1" t="s">
        <v>2743</v>
      </c>
      <c r="D604" s="1" t="s">
        <v>2744</v>
      </c>
      <c r="E604" s="1"/>
      <c r="F604" s="1"/>
      <c r="G604" s="1" t="s">
        <v>713</v>
      </c>
      <c r="H604" s="1" t="s">
        <v>2745</v>
      </c>
      <c r="I604" s="1"/>
      <c r="J604" s="1"/>
      <c r="K604">
        <v>1</v>
      </c>
      <c r="L604">
        <v>0</v>
      </c>
      <c r="N604" s="21">
        <v>44415.628849618057</v>
      </c>
      <c r="O604" s="21">
        <v>44415.628849618057</v>
      </c>
      <c r="P604" s="21"/>
      <c r="Q604">
        <v>0</v>
      </c>
      <c r="T604">
        <v>60</v>
      </c>
    </row>
    <row r="605" spans="1:20" x14ac:dyDescent="0.25">
      <c r="A605">
        <v>605</v>
      </c>
      <c r="B605" s="1" t="s">
        <v>2746</v>
      </c>
      <c r="C605" s="1"/>
      <c r="D605" s="1" t="s">
        <v>2747</v>
      </c>
      <c r="E605" s="1"/>
      <c r="F605" s="1" t="s">
        <v>2748</v>
      </c>
      <c r="G605" s="1" t="s">
        <v>713</v>
      </c>
      <c r="H605" s="1" t="s">
        <v>2749</v>
      </c>
      <c r="I605" s="1"/>
      <c r="J605" s="1" t="s">
        <v>641</v>
      </c>
      <c r="K605">
        <v>0</v>
      </c>
      <c r="L605">
        <v>0</v>
      </c>
      <c r="N605" s="21">
        <v>44415.628849618057</v>
      </c>
      <c r="O605" s="21">
        <v>44415.628849618057</v>
      </c>
      <c r="P605" s="21"/>
      <c r="Q605">
        <v>0</v>
      </c>
      <c r="T605">
        <v>60</v>
      </c>
    </row>
    <row r="606" spans="1:20" x14ac:dyDescent="0.25">
      <c r="A606">
        <v>606</v>
      </c>
      <c r="B606" s="1" t="s">
        <v>2750</v>
      </c>
      <c r="C606" s="1" t="s">
        <v>2751</v>
      </c>
      <c r="D606" s="1" t="s">
        <v>2752</v>
      </c>
      <c r="E606" s="1" t="s">
        <v>2750</v>
      </c>
      <c r="F606" s="1"/>
      <c r="G606" s="1" t="s">
        <v>713</v>
      </c>
      <c r="H606" s="1" t="s">
        <v>2753</v>
      </c>
      <c r="I606" s="1"/>
      <c r="J606" s="1"/>
      <c r="K606">
        <v>1</v>
      </c>
      <c r="L606">
        <v>0</v>
      </c>
      <c r="N606" s="21">
        <v>44415.628849618057</v>
      </c>
      <c r="O606" s="21">
        <v>44415.628849618057</v>
      </c>
      <c r="P606" s="21"/>
      <c r="Q606">
        <v>0</v>
      </c>
      <c r="T606">
        <v>60</v>
      </c>
    </row>
    <row r="607" spans="1:20" x14ac:dyDescent="0.25">
      <c r="A607">
        <v>607</v>
      </c>
      <c r="B607" s="1" t="s">
        <v>2754</v>
      </c>
      <c r="C607" s="1"/>
      <c r="D607" s="1" t="s">
        <v>2755</v>
      </c>
      <c r="E607" s="1"/>
      <c r="F607" s="1"/>
      <c r="G607" s="1" t="s">
        <v>644</v>
      </c>
      <c r="H607" s="1" t="s">
        <v>2756</v>
      </c>
      <c r="I607" s="1" t="s">
        <v>803</v>
      </c>
      <c r="J607" s="1" t="s">
        <v>641</v>
      </c>
      <c r="K607">
        <v>0</v>
      </c>
      <c r="L607">
        <v>0</v>
      </c>
      <c r="N607" s="21">
        <v>44415.628849618057</v>
      </c>
      <c r="O607" s="21">
        <v>44415.628849618057</v>
      </c>
      <c r="P607" s="21"/>
      <c r="Q607">
        <v>0</v>
      </c>
      <c r="T607">
        <v>60</v>
      </c>
    </row>
    <row r="608" spans="1:20" x14ac:dyDescent="0.25">
      <c r="A608">
        <v>608</v>
      </c>
      <c r="B608" s="1" t="s">
        <v>2757</v>
      </c>
      <c r="C608" s="1"/>
      <c r="D608" s="1" t="s">
        <v>2758</v>
      </c>
      <c r="E608" s="1"/>
      <c r="F608" s="1"/>
      <c r="G608" s="1"/>
      <c r="H608" s="1" t="s">
        <v>2759</v>
      </c>
      <c r="I608" s="1"/>
      <c r="J608" s="1"/>
      <c r="K608">
        <v>0</v>
      </c>
      <c r="L608">
        <v>0</v>
      </c>
      <c r="N608" s="21">
        <v>44415.628849618057</v>
      </c>
      <c r="O608" s="21">
        <v>44415.628849618057</v>
      </c>
      <c r="P608" s="21"/>
      <c r="Q608">
        <v>0</v>
      </c>
      <c r="T608">
        <v>60</v>
      </c>
    </row>
    <row r="609" spans="1:20" x14ac:dyDescent="0.25">
      <c r="A609">
        <v>609</v>
      </c>
      <c r="B609" s="1" t="s">
        <v>2760</v>
      </c>
      <c r="C609" s="1"/>
      <c r="D609" s="1" t="s">
        <v>2761</v>
      </c>
      <c r="E609" s="1"/>
      <c r="F609" s="1"/>
      <c r="G609" s="1"/>
      <c r="H609" s="1" t="s">
        <v>2762</v>
      </c>
      <c r="I609" s="1"/>
      <c r="J609" s="1"/>
      <c r="K609">
        <v>0</v>
      </c>
      <c r="L609">
        <v>0</v>
      </c>
      <c r="N609" s="21">
        <v>44415.628849618057</v>
      </c>
      <c r="O609" s="21">
        <v>44415.628849618057</v>
      </c>
      <c r="P609" s="21"/>
      <c r="Q609">
        <v>0</v>
      </c>
      <c r="T609">
        <v>60</v>
      </c>
    </row>
    <row r="610" spans="1:20" x14ac:dyDescent="0.25">
      <c r="A610">
        <v>610</v>
      </c>
      <c r="B610" s="1" t="s">
        <v>2763</v>
      </c>
      <c r="C610" s="1" t="s">
        <v>2764</v>
      </c>
      <c r="D610" s="1" t="s">
        <v>2765</v>
      </c>
      <c r="E610" s="1"/>
      <c r="F610" s="1"/>
      <c r="G610" s="1" t="s">
        <v>713</v>
      </c>
      <c r="H610" s="1" t="s">
        <v>2766</v>
      </c>
      <c r="I610" s="1"/>
      <c r="J610" s="1" t="s">
        <v>636</v>
      </c>
      <c r="K610">
        <v>1</v>
      </c>
      <c r="L610">
        <v>0</v>
      </c>
      <c r="N610" s="21">
        <v>44415.628849618057</v>
      </c>
      <c r="O610" s="21">
        <v>44415.628849618057</v>
      </c>
      <c r="P610" s="21"/>
      <c r="Q610">
        <v>0</v>
      </c>
      <c r="T610">
        <v>60</v>
      </c>
    </row>
    <row r="611" spans="1:20" x14ac:dyDescent="0.25">
      <c r="A611">
        <v>611</v>
      </c>
      <c r="B611" s="1" t="s">
        <v>2767</v>
      </c>
      <c r="C611" s="1"/>
      <c r="D611" s="1" t="s">
        <v>2768</v>
      </c>
      <c r="E611" s="1"/>
      <c r="F611" s="1"/>
      <c r="G611" s="1" t="s">
        <v>713</v>
      </c>
      <c r="H611" s="1" t="s">
        <v>2769</v>
      </c>
      <c r="I611" s="1"/>
      <c r="J611" s="1" t="s">
        <v>636</v>
      </c>
      <c r="K611">
        <v>0</v>
      </c>
      <c r="L611">
        <v>0</v>
      </c>
      <c r="N611" s="21">
        <v>44415.628849618057</v>
      </c>
      <c r="O611" s="21">
        <v>44415.628849618057</v>
      </c>
      <c r="P611" s="21"/>
      <c r="Q611">
        <v>0</v>
      </c>
      <c r="T611">
        <v>60</v>
      </c>
    </row>
    <row r="612" spans="1:20" x14ac:dyDescent="0.25">
      <c r="A612">
        <v>612</v>
      </c>
      <c r="B612" s="1" t="s">
        <v>2770</v>
      </c>
      <c r="C612" s="1"/>
      <c r="D612" s="1" t="s">
        <v>2771</v>
      </c>
      <c r="E612" s="1"/>
      <c r="F612" s="1"/>
      <c r="G612" s="1"/>
      <c r="H612" s="1" t="s">
        <v>2772</v>
      </c>
      <c r="I612" s="1"/>
      <c r="J612" s="1"/>
      <c r="K612">
        <v>0</v>
      </c>
      <c r="L612">
        <v>0</v>
      </c>
      <c r="N612" s="21">
        <v>44415.628849618057</v>
      </c>
      <c r="O612" s="21">
        <v>44415.628849618057</v>
      </c>
      <c r="P612" s="21"/>
      <c r="Q612">
        <v>0</v>
      </c>
      <c r="T612">
        <v>60</v>
      </c>
    </row>
    <row r="613" spans="1:20" x14ac:dyDescent="0.25">
      <c r="A613">
        <v>613</v>
      </c>
      <c r="B613" s="1" t="s">
        <v>2773</v>
      </c>
      <c r="C613" s="1"/>
      <c r="D613" s="1" t="s">
        <v>2774</v>
      </c>
      <c r="E613" s="1"/>
      <c r="F613" s="1"/>
      <c r="G613" s="1" t="s">
        <v>713</v>
      </c>
      <c r="H613" s="1" t="s">
        <v>2775</v>
      </c>
      <c r="I613" s="1"/>
      <c r="J613" s="1" t="s">
        <v>641</v>
      </c>
      <c r="K613">
        <v>0</v>
      </c>
      <c r="L613">
        <v>0</v>
      </c>
      <c r="N613" s="21">
        <v>44415.628849618057</v>
      </c>
      <c r="O613" s="21">
        <v>44415.628849618057</v>
      </c>
      <c r="P613" s="21"/>
      <c r="Q613">
        <v>0</v>
      </c>
      <c r="T613">
        <v>60</v>
      </c>
    </row>
    <row r="614" spans="1:20" x14ac:dyDescent="0.25">
      <c r="A614">
        <v>614</v>
      </c>
      <c r="B614" s="1" t="s">
        <v>2776</v>
      </c>
      <c r="C614" s="1"/>
      <c r="D614" s="1" t="s">
        <v>2777</v>
      </c>
      <c r="E614" s="1"/>
      <c r="F614" s="1"/>
      <c r="G614" s="1"/>
      <c r="H614" s="1" t="s">
        <v>2778</v>
      </c>
      <c r="I614" s="1"/>
      <c r="J614" s="1" t="s">
        <v>641</v>
      </c>
      <c r="K614">
        <v>0</v>
      </c>
      <c r="L614">
        <v>0</v>
      </c>
      <c r="N614" s="21">
        <v>44415.628849618057</v>
      </c>
      <c r="O614" s="21">
        <v>44415.628849618057</v>
      </c>
      <c r="P614" s="21"/>
      <c r="Q614">
        <v>0</v>
      </c>
      <c r="T614">
        <v>60</v>
      </c>
    </row>
    <row r="615" spans="1:20" x14ac:dyDescent="0.25">
      <c r="A615">
        <v>615</v>
      </c>
      <c r="B615" s="1" t="s">
        <v>2779</v>
      </c>
      <c r="C615" s="1" t="s">
        <v>2780</v>
      </c>
      <c r="D615" s="1" t="s">
        <v>2781</v>
      </c>
      <c r="E615" s="1" t="s">
        <v>2779</v>
      </c>
      <c r="F615" s="1"/>
      <c r="G615" s="1" t="s">
        <v>713</v>
      </c>
      <c r="H615" s="1" t="s">
        <v>2782</v>
      </c>
      <c r="I615" s="1"/>
      <c r="J615" s="1" t="s">
        <v>636</v>
      </c>
      <c r="K615">
        <v>1</v>
      </c>
      <c r="L615">
        <v>0</v>
      </c>
      <c r="N615" s="21">
        <v>44415.628849618057</v>
      </c>
      <c r="O615" s="21">
        <v>44415.628849618057</v>
      </c>
      <c r="P615" s="21"/>
      <c r="Q615">
        <v>0</v>
      </c>
      <c r="T615">
        <v>60</v>
      </c>
    </row>
    <row r="616" spans="1:20" x14ac:dyDescent="0.25">
      <c r="A616">
        <v>616</v>
      </c>
      <c r="B616" s="1" t="s">
        <v>2783</v>
      </c>
      <c r="C616" s="1"/>
      <c r="D616" s="1" t="s">
        <v>2784</v>
      </c>
      <c r="E616" s="1"/>
      <c r="F616" s="1"/>
      <c r="G616" s="1" t="s">
        <v>713</v>
      </c>
      <c r="H616" s="1" t="s">
        <v>2785</v>
      </c>
      <c r="I616" s="1"/>
      <c r="J616" s="1" t="s">
        <v>641</v>
      </c>
      <c r="K616">
        <v>0</v>
      </c>
      <c r="L616">
        <v>0</v>
      </c>
      <c r="N616" s="21">
        <v>44415.628849618057</v>
      </c>
      <c r="O616" s="21">
        <v>44415.628849618057</v>
      </c>
      <c r="P616" s="21"/>
      <c r="Q616">
        <v>0</v>
      </c>
      <c r="T616">
        <v>60</v>
      </c>
    </row>
    <row r="617" spans="1:20" x14ac:dyDescent="0.25">
      <c r="A617">
        <v>617</v>
      </c>
      <c r="B617" s="1" t="s">
        <v>2786</v>
      </c>
      <c r="C617" s="1"/>
      <c r="D617" s="1" t="s">
        <v>2787</v>
      </c>
      <c r="E617" s="1"/>
      <c r="F617" s="1"/>
      <c r="G617" s="1" t="s">
        <v>713</v>
      </c>
      <c r="H617" s="1" t="s">
        <v>2788</v>
      </c>
      <c r="I617" s="1"/>
      <c r="J617" s="1"/>
      <c r="K617">
        <v>0</v>
      </c>
      <c r="L617">
        <v>0</v>
      </c>
      <c r="N617" s="21">
        <v>44415.628849618057</v>
      </c>
      <c r="O617" s="21">
        <v>44415.628849618057</v>
      </c>
      <c r="P617" s="21"/>
      <c r="Q617">
        <v>0</v>
      </c>
      <c r="T617">
        <v>60</v>
      </c>
    </row>
    <row r="618" spans="1:20" x14ac:dyDescent="0.25">
      <c r="A618">
        <v>618</v>
      </c>
      <c r="B618" s="1" t="s">
        <v>2789</v>
      </c>
      <c r="C618" s="1"/>
      <c r="D618" s="1" t="s">
        <v>2790</v>
      </c>
      <c r="E618" s="1"/>
      <c r="F618" s="1"/>
      <c r="G618" s="1"/>
      <c r="H618" s="1" t="s">
        <v>2791</v>
      </c>
      <c r="I618" s="1"/>
      <c r="J618" s="1"/>
      <c r="K618">
        <v>0</v>
      </c>
      <c r="L618">
        <v>0</v>
      </c>
      <c r="N618" s="21">
        <v>44415.628849618057</v>
      </c>
      <c r="O618" s="21">
        <v>44415.628849618057</v>
      </c>
      <c r="P618" s="21"/>
      <c r="Q618">
        <v>0</v>
      </c>
      <c r="T618">
        <v>60</v>
      </c>
    </row>
    <row r="619" spans="1:20" x14ac:dyDescent="0.25">
      <c r="A619">
        <v>619</v>
      </c>
      <c r="B619" s="1" t="s">
        <v>2792</v>
      </c>
      <c r="C619" s="1" t="s">
        <v>2793</v>
      </c>
      <c r="D619" s="1" t="s">
        <v>2794</v>
      </c>
      <c r="E619" s="1"/>
      <c r="F619" s="1"/>
      <c r="G619" s="1" t="s">
        <v>644</v>
      </c>
      <c r="H619" s="1" t="s">
        <v>2795</v>
      </c>
      <c r="I619" s="1" t="s">
        <v>568</v>
      </c>
      <c r="J619" s="1" t="s">
        <v>636</v>
      </c>
      <c r="K619">
        <v>0</v>
      </c>
      <c r="L619">
        <v>1</v>
      </c>
      <c r="M619">
        <v>16</v>
      </c>
      <c r="N619" s="21">
        <v>44415.628849618057</v>
      </c>
      <c r="O619" s="21">
        <v>44415.628849618057</v>
      </c>
      <c r="P619" s="21"/>
      <c r="Q619">
        <v>0</v>
      </c>
      <c r="T619">
        <v>60</v>
      </c>
    </row>
    <row r="620" spans="1:20" x14ac:dyDescent="0.25">
      <c r="A620">
        <v>620</v>
      </c>
      <c r="B620" s="1" t="s">
        <v>2796</v>
      </c>
      <c r="C620" s="1"/>
      <c r="D620" s="1" t="s">
        <v>2797</v>
      </c>
      <c r="E620" s="1"/>
      <c r="F620" s="1"/>
      <c r="G620" s="1" t="s">
        <v>644</v>
      </c>
      <c r="H620" s="1" t="s">
        <v>2798</v>
      </c>
      <c r="I620" s="1" t="s">
        <v>995</v>
      </c>
      <c r="J620" s="1"/>
      <c r="K620">
        <v>0</v>
      </c>
      <c r="L620">
        <v>0</v>
      </c>
      <c r="N620" s="21">
        <v>44415.628849618057</v>
      </c>
      <c r="O620" s="21">
        <v>44415.628849618057</v>
      </c>
      <c r="P620" s="21"/>
      <c r="Q620">
        <v>0</v>
      </c>
      <c r="T620">
        <v>60</v>
      </c>
    </row>
    <row r="621" spans="1:20" x14ac:dyDescent="0.25">
      <c r="A621">
        <v>621</v>
      </c>
      <c r="B621" s="1" t="s">
        <v>2799</v>
      </c>
      <c r="C621" s="1"/>
      <c r="D621" s="1" t="s">
        <v>2800</v>
      </c>
      <c r="E621" s="1"/>
      <c r="F621" s="1"/>
      <c r="G621" s="1" t="s">
        <v>634</v>
      </c>
      <c r="H621" s="1" t="s">
        <v>2801</v>
      </c>
      <c r="I621" s="1"/>
      <c r="J621" s="1"/>
      <c r="K621">
        <v>0</v>
      </c>
      <c r="L621">
        <v>0</v>
      </c>
      <c r="N621" s="21">
        <v>44415.628849618057</v>
      </c>
      <c r="O621" s="21">
        <v>44415.628849618057</v>
      </c>
      <c r="P621" s="21"/>
      <c r="Q621">
        <v>0</v>
      </c>
      <c r="T621">
        <v>60</v>
      </c>
    </row>
    <row r="622" spans="1:20" x14ac:dyDescent="0.25">
      <c r="A622">
        <v>622</v>
      </c>
      <c r="B622" s="1" t="s">
        <v>2802</v>
      </c>
      <c r="C622" s="1"/>
      <c r="D622" s="1" t="s">
        <v>2803</v>
      </c>
      <c r="E622" s="1"/>
      <c r="F622" s="1"/>
      <c r="G622" s="1" t="s">
        <v>644</v>
      </c>
      <c r="H622" s="1" t="s">
        <v>2804</v>
      </c>
      <c r="I622" s="1"/>
      <c r="J622" s="1"/>
      <c r="K622">
        <v>0</v>
      </c>
      <c r="L622">
        <v>0</v>
      </c>
      <c r="N622" s="21">
        <v>44415.628849618057</v>
      </c>
      <c r="O622" s="21">
        <v>44415.628849618057</v>
      </c>
      <c r="P622" s="21"/>
      <c r="Q622">
        <v>0</v>
      </c>
      <c r="T622">
        <v>60</v>
      </c>
    </row>
    <row r="623" spans="1:20" x14ac:dyDescent="0.25">
      <c r="A623">
        <v>623</v>
      </c>
      <c r="B623" s="1" t="s">
        <v>2805</v>
      </c>
      <c r="C623" s="1"/>
      <c r="D623" s="1" t="s">
        <v>2806</v>
      </c>
      <c r="E623" s="1"/>
      <c r="F623" s="1"/>
      <c r="G623" s="1" t="s">
        <v>644</v>
      </c>
      <c r="H623" s="1" t="s">
        <v>2807</v>
      </c>
      <c r="I623" s="1" t="s">
        <v>568</v>
      </c>
      <c r="J623" s="1" t="s">
        <v>641</v>
      </c>
      <c r="K623">
        <v>0</v>
      </c>
      <c r="L623">
        <v>0</v>
      </c>
      <c r="N623" s="21">
        <v>44415.628849618057</v>
      </c>
      <c r="O623" s="21">
        <v>44415.628849618057</v>
      </c>
      <c r="P623" s="21"/>
      <c r="Q623">
        <v>0</v>
      </c>
      <c r="T623">
        <v>60</v>
      </c>
    </row>
    <row r="624" spans="1:20" x14ac:dyDescent="0.25">
      <c r="A624">
        <v>624</v>
      </c>
      <c r="B624" s="1" t="s">
        <v>2808</v>
      </c>
      <c r="C624" s="1" t="s">
        <v>2809</v>
      </c>
      <c r="D624" s="1" t="s">
        <v>2810</v>
      </c>
      <c r="E624" s="1" t="s">
        <v>2808</v>
      </c>
      <c r="F624" s="1"/>
      <c r="G624" s="1" t="s">
        <v>713</v>
      </c>
      <c r="H624" s="1" t="s">
        <v>2811</v>
      </c>
      <c r="I624" s="1"/>
      <c r="J624" s="1" t="s">
        <v>636</v>
      </c>
      <c r="K624">
        <v>1</v>
      </c>
      <c r="L624">
        <v>0</v>
      </c>
      <c r="N624" s="21">
        <v>44415.628849618057</v>
      </c>
      <c r="O624" s="21">
        <v>44415.628849618057</v>
      </c>
      <c r="P624" s="21"/>
      <c r="Q624">
        <v>0</v>
      </c>
      <c r="T624">
        <v>60</v>
      </c>
    </row>
    <row r="625" spans="1:20" x14ac:dyDescent="0.25">
      <c r="A625">
        <v>625</v>
      </c>
      <c r="B625" s="1" t="s">
        <v>2812</v>
      </c>
      <c r="C625" s="1"/>
      <c r="D625" s="1" t="s">
        <v>2813</v>
      </c>
      <c r="E625" s="1"/>
      <c r="F625" s="1"/>
      <c r="G625" s="1"/>
      <c r="H625" s="1" t="s">
        <v>2814</v>
      </c>
      <c r="I625" s="1"/>
      <c r="J625" s="1" t="s">
        <v>636</v>
      </c>
      <c r="K625">
        <v>0</v>
      </c>
      <c r="L625">
        <v>0</v>
      </c>
      <c r="N625" s="21">
        <v>44415.628849618057</v>
      </c>
      <c r="O625" s="21">
        <v>44415.628849618057</v>
      </c>
      <c r="P625" s="21"/>
      <c r="Q625">
        <v>0</v>
      </c>
      <c r="T625">
        <v>60</v>
      </c>
    </row>
    <row r="626" spans="1:20" x14ac:dyDescent="0.25">
      <c r="A626">
        <v>626</v>
      </c>
      <c r="B626" s="1" t="s">
        <v>2815</v>
      </c>
      <c r="C626" s="1"/>
      <c r="D626" s="1" t="s">
        <v>2816</v>
      </c>
      <c r="E626" s="1"/>
      <c r="F626" s="1"/>
      <c r="G626" s="1"/>
      <c r="H626" s="1" t="s">
        <v>2817</v>
      </c>
      <c r="I626" s="1"/>
      <c r="J626" s="1"/>
      <c r="K626">
        <v>1</v>
      </c>
      <c r="L626">
        <v>0</v>
      </c>
      <c r="N626" s="21">
        <v>44415.628849618057</v>
      </c>
      <c r="O626" s="21">
        <v>44415.628849618057</v>
      </c>
      <c r="P626" s="21"/>
      <c r="Q626">
        <v>0</v>
      </c>
      <c r="T626">
        <v>60</v>
      </c>
    </row>
    <row r="627" spans="1:20" x14ac:dyDescent="0.25">
      <c r="A627">
        <v>627</v>
      </c>
      <c r="B627" s="1" t="s">
        <v>2818</v>
      </c>
      <c r="C627" s="1" t="s">
        <v>2819</v>
      </c>
      <c r="D627" s="1" t="s">
        <v>2820</v>
      </c>
      <c r="E627" s="1"/>
      <c r="F627" s="1"/>
      <c r="G627" s="1" t="s">
        <v>713</v>
      </c>
      <c r="H627" s="1" t="s">
        <v>2821</v>
      </c>
      <c r="I627" s="1"/>
      <c r="J627" s="1" t="s">
        <v>641</v>
      </c>
      <c r="K627">
        <v>1</v>
      </c>
      <c r="L627">
        <v>0</v>
      </c>
      <c r="N627" s="21">
        <v>44415.628849618057</v>
      </c>
      <c r="O627" s="21">
        <v>44415.628849618057</v>
      </c>
      <c r="P627" s="21"/>
      <c r="Q627">
        <v>0</v>
      </c>
      <c r="T627">
        <v>60</v>
      </c>
    </row>
    <row r="628" spans="1:20" x14ac:dyDescent="0.25">
      <c r="A628">
        <v>628</v>
      </c>
      <c r="B628" s="1" t="s">
        <v>2822</v>
      </c>
      <c r="C628" s="1"/>
      <c r="D628" s="1" t="s">
        <v>2823</v>
      </c>
      <c r="E628" s="1"/>
      <c r="F628" s="1"/>
      <c r="G628" s="1"/>
      <c r="H628" s="1" t="s">
        <v>2824</v>
      </c>
      <c r="I628" s="1"/>
      <c r="J628" s="1" t="s">
        <v>1751</v>
      </c>
      <c r="K628">
        <v>0</v>
      </c>
      <c r="L628">
        <v>0</v>
      </c>
      <c r="N628" s="21">
        <v>44415.628849618057</v>
      </c>
      <c r="O628" s="21">
        <v>44415.628849618057</v>
      </c>
      <c r="P628" s="21"/>
      <c r="Q628">
        <v>0</v>
      </c>
      <c r="T628">
        <v>60</v>
      </c>
    </row>
    <row r="629" spans="1:20" x14ac:dyDescent="0.25">
      <c r="A629">
        <v>629</v>
      </c>
      <c r="B629" s="1" t="s">
        <v>2825</v>
      </c>
      <c r="C629" s="1" t="s">
        <v>2826</v>
      </c>
      <c r="D629" s="1" t="s">
        <v>2827</v>
      </c>
      <c r="E629" s="1"/>
      <c r="F629" s="1" t="s">
        <v>2828</v>
      </c>
      <c r="G629" s="1" t="s">
        <v>713</v>
      </c>
      <c r="H629" s="1" t="s">
        <v>2829</v>
      </c>
      <c r="I629" s="1"/>
      <c r="J629" s="1" t="s">
        <v>641</v>
      </c>
      <c r="K629">
        <v>1</v>
      </c>
      <c r="L629">
        <v>0</v>
      </c>
      <c r="N629" s="21">
        <v>44415.628849618057</v>
      </c>
      <c r="O629" s="21">
        <v>44415.628849618057</v>
      </c>
      <c r="P629" s="21"/>
      <c r="Q629">
        <v>0</v>
      </c>
      <c r="T629">
        <v>60</v>
      </c>
    </row>
    <row r="630" spans="1:20" x14ac:dyDescent="0.25">
      <c r="A630">
        <v>630</v>
      </c>
      <c r="B630" s="1" t="s">
        <v>2830</v>
      </c>
      <c r="C630" s="1"/>
      <c r="D630" s="1" t="s">
        <v>2831</v>
      </c>
      <c r="E630" s="1"/>
      <c r="F630" s="1"/>
      <c r="G630" s="1" t="s">
        <v>713</v>
      </c>
      <c r="H630" s="1" t="s">
        <v>2832</v>
      </c>
      <c r="I630" s="1"/>
      <c r="J630" s="1"/>
      <c r="K630">
        <v>0</v>
      </c>
      <c r="L630">
        <v>0</v>
      </c>
      <c r="N630" s="21">
        <v>44415.628849618057</v>
      </c>
      <c r="O630" s="21">
        <v>44415.628849618057</v>
      </c>
      <c r="P630" s="21"/>
      <c r="Q630">
        <v>0</v>
      </c>
      <c r="T630">
        <v>60</v>
      </c>
    </row>
    <row r="631" spans="1:20" x14ac:dyDescent="0.25">
      <c r="A631">
        <v>631</v>
      </c>
      <c r="B631" s="1" t="s">
        <v>2833</v>
      </c>
      <c r="C631" s="1"/>
      <c r="D631" s="1" t="s">
        <v>2834</v>
      </c>
      <c r="E631" s="1"/>
      <c r="F631" s="1"/>
      <c r="G631" s="1"/>
      <c r="H631" s="1" t="s">
        <v>2835</v>
      </c>
      <c r="I631" s="1"/>
      <c r="J631" s="1"/>
      <c r="K631">
        <v>0</v>
      </c>
      <c r="L631">
        <v>0</v>
      </c>
      <c r="N631" s="21">
        <v>44415.628849618057</v>
      </c>
      <c r="O631" s="21">
        <v>44415.628849618057</v>
      </c>
      <c r="P631" s="21"/>
      <c r="Q631">
        <v>0</v>
      </c>
      <c r="T631">
        <v>60</v>
      </c>
    </row>
    <row r="632" spans="1:20" x14ac:dyDescent="0.25">
      <c r="A632">
        <v>632</v>
      </c>
      <c r="B632" s="1" t="s">
        <v>2836</v>
      </c>
      <c r="C632" s="1" t="s">
        <v>2837</v>
      </c>
      <c r="D632" s="1" t="s">
        <v>2838</v>
      </c>
      <c r="E632" s="1"/>
      <c r="F632" s="1"/>
      <c r="G632" s="1" t="s">
        <v>713</v>
      </c>
      <c r="H632" s="1" t="s">
        <v>2839</v>
      </c>
      <c r="I632" s="1"/>
      <c r="J632" s="1" t="s">
        <v>636</v>
      </c>
      <c r="K632">
        <v>1</v>
      </c>
      <c r="L632">
        <v>0</v>
      </c>
      <c r="N632" s="21">
        <v>44415.628849618057</v>
      </c>
      <c r="O632" s="21">
        <v>44415.628849618057</v>
      </c>
      <c r="P632" s="21"/>
      <c r="Q632">
        <v>0</v>
      </c>
      <c r="T632">
        <v>60</v>
      </c>
    </row>
    <row r="633" spans="1:20" x14ac:dyDescent="0.25">
      <c r="A633">
        <v>633</v>
      </c>
      <c r="B633" s="1" t="s">
        <v>2840</v>
      </c>
      <c r="C633" s="1"/>
      <c r="D633" s="1" t="s">
        <v>2841</v>
      </c>
      <c r="E633" s="1"/>
      <c r="F633" s="1"/>
      <c r="G633" s="1" t="s">
        <v>713</v>
      </c>
      <c r="H633" s="1" t="s">
        <v>2842</v>
      </c>
      <c r="I633" s="1"/>
      <c r="J633" s="1" t="s">
        <v>636</v>
      </c>
      <c r="K633">
        <v>0</v>
      </c>
      <c r="L633">
        <v>0</v>
      </c>
      <c r="N633" s="21">
        <v>44415.628849618057</v>
      </c>
      <c r="O633" s="21">
        <v>44415.628849618057</v>
      </c>
      <c r="P633" s="21"/>
      <c r="Q633">
        <v>0</v>
      </c>
      <c r="T633">
        <v>60</v>
      </c>
    </row>
    <row r="634" spans="1:20" x14ac:dyDescent="0.25">
      <c r="A634">
        <v>634</v>
      </c>
      <c r="B634" s="1" t="s">
        <v>2843</v>
      </c>
      <c r="C634" s="1" t="s">
        <v>2844</v>
      </c>
      <c r="D634" s="1" t="s">
        <v>2845</v>
      </c>
      <c r="E634" s="1"/>
      <c r="F634" s="1"/>
      <c r="G634" s="1"/>
      <c r="H634" s="1" t="s">
        <v>2846</v>
      </c>
      <c r="I634" s="1"/>
      <c r="J634" s="1" t="s">
        <v>636</v>
      </c>
      <c r="K634">
        <v>1</v>
      </c>
      <c r="L634">
        <v>1</v>
      </c>
      <c r="N634" s="21">
        <v>44415.628849618057</v>
      </c>
      <c r="O634" s="21">
        <v>44415.628849618057</v>
      </c>
      <c r="P634" s="21"/>
      <c r="Q634">
        <v>0</v>
      </c>
      <c r="T634">
        <v>60</v>
      </c>
    </row>
    <row r="635" spans="1:20" x14ac:dyDescent="0.25">
      <c r="A635">
        <v>635</v>
      </c>
      <c r="B635" s="1" t="s">
        <v>2847</v>
      </c>
      <c r="C635" s="1"/>
      <c r="D635" s="1" t="s">
        <v>2848</v>
      </c>
      <c r="E635" s="1"/>
      <c r="F635" s="1"/>
      <c r="G635" s="1"/>
      <c r="H635" s="1" t="s">
        <v>2849</v>
      </c>
      <c r="I635" s="1"/>
      <c r="J635" s="1" t="s">
        <v>636</v>
      </c>
      <c r="K635">
        <v>0</v>
      </c>
      <c r="L635">
        <v>0</v>
      </c>
      <c r="N635" s="21">
        <v>44415.628849618057</v>
      </c>
      <c r="O635" s="21">
        <v>44415.628849618057</v>
      </c>
      <c r="P635" s="21"/>
      <c r="Q635">
        <v>0</v>
      </c>
      <c r="T635">
        <v>60</v>
      </c>
    </row>
    <row r="636" spans="1:20" x14ac:dyDescent="0.25">
      <c r="A636">
        <v>636</v>
      </c>
      <c r="B636" s="1" t="s">
        <v>2850</v>
      </c>
      <c r="C636" s="1"/>
      <c r="D636" s="1" t="s">
        <v>2851</v>
      </c>
      <c r="E636" s="1"/>
      <c r="F636" s="1"/>
      <c r="G636" s="1"/>
      <c r="H636" s="1" t="s">
        <v>2852</v>
      </c>
      <c r="I636" s="1"/>
      <c r="J636" s="1"/>
      <c r="K636">
        <v>0</v>
      </c>
      <c r="L636">
        <v>0</v>
      </c>
      <c r="N636" s="21">
        <v>44415.628849618057</v>
      </c>
      <c r="O636" s="21">
        <v>44415.628849618057</v>
      </c>
      <c r="P636" s="21"/>
      <c r="Q636">
        <v>0</v>
      </c>
      <c r="T636">
        <v>60</v>
      </c>
    </row>
    <row r="637" spans="1:20" x14ac:dyDescent="0.25">
      <c r="A637">
        <v>637</v>
      </c>
      <c r="B637" s="1" t="s">
        <v>2853</v>
      </c>
      <c r="C637" s="1"/>
      <c r="D637" s="1" t="s">
        <v>2854</v>
      </c>
      <c r="E637" s="1"/>
      <c r="F637" s="1" t="s">
        <v>2855</v>
      </c>
      <c r="G637" s="1"/>
      <c r="H637" s="1" t="s">
        <v>2856</v>
      </c>
      <c r="I637" s="1"/>
      <c r="J637" s="1"/>
      <c r="K637">
        <v>0</v>
      </c>
      <c r="L637">
        <v>0</v>
      </c>
      <c r="N637" s="21">
        <v>44415.628849618057</v>
      </c>
      <c r="O637" s="21">
        <v>44415.628849618057</v>
      </c>
      <c r="P637" s="21"/>
      <c r="Q637">
        <v>0</v>
      </c>
      <c r="T637">
        <v>60</v>
      </c>
    </row>
    <row r="638" spans="1:20" x14ac:dyDescent="0.25">
      <c r="A638">
        <v>638</v>
      </c>
      <c r="B638" s="1" t="s">
        <v>2857</v>
      </c>
      <c r="C638" s="1"/>
      <c r="D638" s="1" t="s">
        <v>2858</v>
      </c>
      <c r="E638" s="1"/>
      <c r="F638" s="1"/>
      <c r="G638" s="1" t="s">
        <v>713</v>
      </c>
      <c r="H638" s="1" t="s">
        <v>2859</v>
      </c>
      <c r="I638" s="1"/>
      <c r="J638" s="1" t="s">
        <v>636</v>
      </c>
      <c r="K638">
        <v>0</v>
      </c>
      <c r="L638">
        <v>0</v>
      </c>
      <c r="N638" s="21">
        <v>44415.628849618057</v>
      </c>
      <c r="O638" s="21">
        <v>44415.628849618057</v>
      </c>
      <c r="P638" s="21"/>
      <c r="Q638">
        <v>0</v>
      </c>
      <c r="T638">
        <v>60</v>
      </c>
    </row>
    <row r="639" spans="1:20" x14ac:dyDescent="0.25">
      <c r="A639">
        <v>639</v>
      </c>
      <c r="B639" s="1" t="s">
        <v>2860</v>
      </c>
      <c r="C639" s="1" t="s">
        <v>2861</v>
      </c>
      <c r="D639" s="1" t="s">
        <v>2862</v>
      </c>
      <c r="E639" s="1"/>
      <c r="F639" s="1"/>
      <c r="G639" s="1" t="s">
        <v>634</v>
      </c>
      <c r="H639" s="1" t="s">
        <v>2863</v>
      </c>
      <c r="I639" s="1" t="s">
        <v>568</v>
      </c>
      <c r="J639" s="1" t="s">
        <v>636</v>
      </c>
      <c r="K639">
        <v>0</v>
      </c>
      <c r="L639">
        <v>1</v>
      </c>
      <c r="M639">
        <v>5371</v>
      </c>
      <c r="N639" s="21">
        <v>44415.628849618057</v>
      </c>
      <c r="O639" s="21">
        <v>44415.628849618057</v>
      </c>
      <c r="P639" s="21"/>
      <c r="Q639">
        <v>0</v>
      </c>
      <c r="T639">
        <v>60</v>
      </c>
    </row>
    <row r="640" spans="1:20" x14ac:dyDescent="0.25">
      <c r="A640">
        <v>640</v>
      </c>
      <c r="B640" s="1" t="s">
        <v>2864</v>
      </c>
      <c r="C640" s="1"/>
      <c r="D640" s="1" t="s">
        <v>2865</v>
      </c>
      <c r="E640" s="1"/>
      <c r="F640" s="1"/>
      <c r="G640" s="1" t="s">
        <v>634</v>
      </c>
      <c r="H640" s="1" t="s">
        <v>2866</v>
      </c>
      <c r="I640" s="1"/>
      <c r="J640" s="1"/>
      <c r="K640">
        <v>0</v>
      </c>
      <c r="L640">
        <v>0</v>
      </c>
      <c r="N640" s="21">
        <v>44415.628849618057</v>
      </c>
      <c r="O640" s="21">
        <v>44415.628849618057</v>
      </c>
      <c r="P640" s="21"/>
      <c r="Q640">
        <v>0</v>
      </c>
      <c r="T640">
        <v>60</v>
      </c>
    </row>
    <row r="641" spans="1:20" x14ac:dyDescent="0.25">
      <c r="A641">
        <v>641</v>
      </c>
      <c r="B641" s="1" t="s">
        <v>2867</v>
      </c>
      <c r="C641" s="1"/>
      <c r="D641" s="1" t="s">
        <v>2868</v>
      </c>
      <c r="E641" s="1"/>
      <c r="F641" s="1"/>
      <c r="G641" s="1"/>
      <c r="H641" s="1" t="s">
        <v>2869</v>
      </c>
      <c r="I641" s="1"/>
      <c r="J641" s="1"/>
      <c r="K641">
        <v>0</v>
      </c>
      <c r="L641">
        <v>0</v>
      </c>
      <c r="N641" s="21">
        <v>44415.628849618057</v>
      </c>
      <c r="O641" s="21">
        <v>44415.628849618057</v>
      </c>
      <c r="P641" s="21"/>
      <c r="Q641">
        <v>0</v>
      </c>
      <c r="T641">
        <v>60</v>
      </c>
    </row>
    <row r="642" spans="1:20" x14ac:dyDescent="0.25">
      <c r="A642">
        <v>642</v>
      </c>
      <c r="B642" s="1" t="s">
        <v>2870</v>
      </c>
      <c r="C642" s="1"/>
      <c r="D642" s="1" t="s">
        <v>2871</v>
      </c>
      <c r="E642" s="1"/>
      <c r="F642" s="1"/>
      <c r="G642" s="1" t="s">
        <v>634</v>
      </c>
      <c r="H642" s="1" t="s">
        <v>2872</v>
      </c>
      <c r="I642" s="1"/>
      <c r="J642" s="1" t="s">
        <v>641</v>
      </c>
      <c r="K642">
        <v>0</v>
      </c>
      <c r="L642">
        <v>0</v>
      </c>
      <c r="N642" s="21">
        <v>44415.628849618057</v>
      </c>
      <c r="O642" s="21">
        <v>44415.628849618057</v>
      </c>
      <c r="P642" s="21"/>
      <c r="Q642">
        <v>0</v>
      </c>
      <c r="T642">
        <v>60</v>
      </c>
    </row>
    <row r="643" spans="1:20" x14ac:dyDescent="0.25">
      <c r="A643">
        <v>643</v>
      </c>
      <c r="B643" s="1" t="s">
        <v>2873</v>
      </c>
      <c r="C643" s="1" t="s">
        <v>2874</v>
      </c>
      <c r="D643" s="1" t="s">
        <v>2875</v>
      </c>
      <c r="E643" s="1"/>
      <c r="F643" s="1"/>
      <c r="G643" s="1" t="s">
        <v>634</v>
      </c>
      <c r="H643" s="1" t="s">
        <v>2876</v>
      </c>
      <c r="I643" s="1" t="s">
        <v>568</v>
      </c>
      <c r="J643" s="1" t="s">
        <v>641</v>
      </c>
      <c r="K643">
        <v>0</v>
      </c>
      <c r="L643">
        <v>1</v>
      </c>
      <c r="M643">
        <v>106</v>
      </c>
      <c r="N643" s="21">
        <v>44415.628849618057</v>
      </c>
      <c r="O643" s="21">
        <v>44415.628849618057</v>
      </c>
      <c r="P643" s="21"/>
      <c r="Q643">
        <v>0</v>
      </c>
      <c r="T643">
        <v>60</v>
      </c>
    </row>
    <row r="644" spans="1:20" x14ac:dyDescent="0.25">
      <c r="A644">
        <v>644</v>
      </c>
      <c r="B644" s="1" t="s">
        <v>2877</v>
      </c>
      <c r="C644" s="1"/>
      <c r="D644" s="1" t="s">
        <v>2878</v>
      </c>
      <c r="E644" s="1"/>
      <c r="F644" s="1"/>
      <c r="G644" s="1"/>
      <c r="H644" s="1" t="s">
        <v>2879</v>
      </c>
      <c r="I644" s="1"/>
      <c r="J644" s="1"/>
      <c r="K644">
        <v>0</v>
      </c>
      <c r="L644">
        <v>0</v>
      </c>
      <c r="N644" s="21">
        <v>44415.628849618057</v>
      </c>
      <c r="O644" s="21">
        <v>44415.628849618057</v>
      </c>
      <c r="P644" s="21"/>
      <c r="Q644">
        <v>0</v>
      </c>
      <c r="T644">
        <v>60</v>
      </c>
    </row>
    <row r="645" spans="1:20" x14ac:dyDescent="0.25">
      <c r="A645">
        <v>645</v>
      </c>
      <c r="B645" s="1" t="s">
        <v>2880</v>
      </c>
      <c r="C645" s="1" t="s">
        <v>2881</v>
      </c>
      <c r="D645" s="1" t="s">
        <v>2882</v>
      </c>
      <c r="E645" s="1"/>
      <c r="F645" s="1"/>
      <c r="G645" s="1" t="s">
        <v>713</v>
      </c>
      <c r="H645" s="1" t="s">
        <v>2883</v>
      </c>
      <c r="I645" s="1"/>
      <c r="J645" s="1" t="s">
        <v>641</v>
      </c>
      <c r="K645">
        <v>1</v>
      </c>
      <c r="L645">
        <v>0</v>
      </c>
      <c r="N645" s="21">
        <v>44415.628849618057</v>
      </c>
      <c r="O645" s="21">
        <v>44415.628849618057</v>
      </c>
      <c r="P645" s="21"/>
      <c r="Q645">
        <v>0</v>
      </c>
      <c r="T645">
        <v>60</v>
      </c>
    </row>
    <row r="646" spans="1:20" x14ac:dyDescent="0.25">
      <c r="A646">
        <v>646</v>
      </c>
      <c r="B646" s="1" t="s">
        <v>2884</v>
      </c>
      <c r="C646" s="1"/>
      <c r="D646" s="1" t="s">
        <v>2885</v>
      </c>
      <c r="E646" s="1"/>
      <c r="F646" s="1"/>
      <c r="G646" s="1" t="s">
        <v>634</v>
      </c>
      <c r="H646" s="1" t="s">
        <v>2886</v>
      </c>
      <c r="I646" s="1"/>
      <c r="J646" s="1"/>
      <c r="K646">
        <v>0</v>
      </c>
      <c r="L646">
        <v>0</v>
      </c>
      <c r="N646" s="21">
        <v>44415.628849618057</v>
      </c>
      <c r="O646" s="21">
        <v>44415.628849618057</v>
      </c>
      <c r="P646" s="21"/>
      <c r="Q646">
        <v>0</v>
      </c>
      <c r="T646">
        <v>60</v>
      </c>
    </row>
    <row r="647" spans="1:20" x14ac:dyDescent="0.25">
      <c r="A647">
        <v>647</v>
      </c>
      <c r="B647" s="1" t="s">
        <v>2887</v>
      </c>
      <c r="C647" s="1"/>
      <c r="D647" s="1" t="s">
        <v>2888</v>
      </c>
      <c r="E647" s="1"/>
      <c r="F647" s="1"/>
      <c r="G647" s="1" t="s">
        <v>713</v>
      </c>
      <c r="H647" s="1" t="s">
        <v>2889</v>
      </c>
      <c r="I647" s="1"/>
      <c r="J647" s="1"/>
      <c r="K647">
        <v>0</v>
      </c>
      <c r="L647">
        <v>0</v>
      </c>
      <c r="N647" s="21">
        <v>44415.628849618057</v>
      </c>
      <c r="O647" s="21">
        <v>44415.628849618057</v>
      </c>
      <c r="P647" s="21"/>
      <c r="Q647">
        <v>0</v>
      </c>
      <c r="T647">
        <v>60</v>
      </c>
    </row>
    <row r="648" spans="1:20" x14ac:dyDescent="0.25">
      <c r="A648">
        <v>648</v>
      </c>
      <c r="B648" s="1" t="s">
        <v>2890</v>
      </c>
      <c r="C648" s="1"/>
      <c r="D648" s="1" t="s">
        <v>2891</v>
      </c>
      <c r="E648" s="1"/>
      <c r="F648" s="1"/>
      <c r="G648" s="1"/>
      <c r="H648" s="1" t="s">
        <v>2892</v>
      </c>
      <c r="I648" s="1"/>
      <c r="J648" s="1"/>
      <c r="K648">
        <v>0</v>
      </c>
      <c r="L648">
        <v>0</v>
      </c>
      <c r="N648" s="21">
        <v>44415.628849618057</v>
      </c>
      <c r="O648" s="21">
        <v>44415.628849618057</v>
      </c>
      <c r="P648" s="21"/>
      <c r="Q648">
        <v>0</v>
      </c>
      <c r="T648">
        <v>60</v>
      </c>
    </row>
    <row r="649" spans="1:20" x14ac:dyDescent="0.25">
      <c r="A649">
        <v>649</v>
      </c>
      <c r="B649" s="1" t="s">
        <v>2893</v>
      </c>
      <c r="C649" s="1" t="s">
        <v>2894</v>
      </c>
      <c r="D649" s="1" t="s">
        <v>2895</v>
      </c>
      <c r="E649" s="1"/>
      <c r="F649" s="1"/>
      <c r="G649" s="1" t="s">
        <v>634</v>
      </c>
      <c r="H649" s="1" t="s">
        <v>2896</v>
      </c>
      <c r="I649" s="1" t="s">
        <v>568</v>
      </c>
      <c r="J649" s="1" t="s">
        <v>641</v>
      </c>
      <c r="K649">
        <v>0</v>
      </c>
      <c r="L649">
        <v>1</v>
      </c>
      <c r="M649">
        <v>4105</v>
      </c>
      <c r="N649" s="21">
        <v>44415.628849618057</v>
      </c>
      <c r="O649" s="21">
        <v>44415.628849618057</v>
      </c>
      <c r="P649" s="21"/>
      <c r="Q649">
        <v>0</v>
      </c>
      <c r="T649">
        <v>60</v>
      </c>
    </row>
    <row r="650" spans="1:20" x14ac:dyDescent="0.25">
      <c r="A650">
        <v>650</v>
      </c>
      <c r="B650" s="1" t="s">
        <v>2897</v>
      </c>
      <c r="C650" s="1"/>
      <c r="D650" s="1" t="s">
        <v>2898</v>
      </c>
      <c r="E650" s="1"/>
      <c r="F650" s="1"/>
      <c r="G650" s="1" t="s">
        <v>634</v>
      </c>
      <c r="H650" s="1" t="s">
        <v>2899</v>
      </c>
      <c r="I650" s="1" t="s">
        <v>1786</v>
      </c>
      <c r="J650" s="1" t="s">
        <v>641</v>
      </c>
      <c r="K650">
        <v>0</v>
      </c>
      <c r="L650">
        <v>0</v>
      </c>
      <c r="N650" s="21">
        <v>44415.628849618057</v>
      </c>
      <c r="O650" s="21">
        <v>44415.628849618057</v>
      </c>
      <c r="P650" s="21"/>
      <c r="Q650">
        <v>0</v>
      </c>
      <c r="T650">
        <v>60</v>
      </c>
    </row>
    <row r="651" spans="1:20" x14ac:dyDescent="0.25">
      <c r="A651">
        <v>651</v>
      </c>
      <c r="B651" s="1" t="s">
        <v>2900</v>
      </c>
      <c r="C651" s="1" t="s">
        <v>2901</v>
      </c>
      <c r="D651" s="1" t="s">
        <v>2902</v>
      </c>
      <c r="E651" s="1"/>
      <c r="F651" s="1" t="s">
        <v>2903</v>
      </c>
      <c r="G651" s="1" t="s">
        <v>713</v>
      </c>
      <c r="H651" s="1" t="s">
        <v>2904</v>
      </c>
      <c r="I651" s="1"/>
      <c r="J651" s="1" t="s">
        <v>641</v>
      </c>
      <c r="K651">
        <v>1</v>
      </c>
      <c r="L651">
        <v>0</v>
      </c>
      <c r="N651" s="21">
        <v>44415.628849618057</v>
      </c>
      <c r="O651" s="21">
        <v>44415.628849618057</v>
      </c>
      <c r="P651" s="21"/>
      <c r="Q651">
        <v>0</v>
      </c>
      <c r="T651">
        <v>60</v>
      </c>
    </row>
    <row r="652" spans="1:20" x14ac:dyDescent="0.25">
      <c r="A652">
        <v>652</v>
      </c>
      <c r="B652" s="1" t="s">
        <v>2905</v>
      </c>
      <c r="C652" s="1" t="s">
        <v>2906</v>
      </c>
      <c r="D652" s="1" t="s">
        <v>2907</v>
      </c>
      <c r="E652" s="1"/>
      <c r="F652" s="1"/>
      <c r="G652" s="1" t="s">
        <v>713</v>
      </c>
      <c r="H652" s="1" t="s">
        <v>2908</v>
      </c>
      <c r="I652" s="1"/>
      <c r="J652" s="1" t="s">
        <v>641</v>
      </c>
      <c r="K652">
        <v>1</v>
      </c>
      <c r="L652">
        <v>0</v>
      </c>
      <c r="N652" s="21">
        <v>44415.628849618057</v>
      </c>
      <c r="O652" s="21">
        <v>44415.628849618057</v>
      </c>
      <c r="P652" s="21"/>
      <c r="Q652">
        <v>0</v>
      </c>
      <c r="T652">
        <v>60</v>
      </c>
    </row>
    <row r="653" spans="1:20" x14ac:dyDescent="0.25">
      <c r="A653">
        <v>653</v>
      </c>
      <c r="B653" s="1" t="s">
        <v>2909</v>
      </c>
      <c r="C653" s="1"/>
      <c r="D653" s="1" t="s">
        <v>2910</v>
      </c>
      <c r="E653" s="1"/>
      <c r="F653" s="1"/>
      <c r="G653" s="1"/>
      <c r="H653" s="1" t="s">
        <v>2911</v>
      </c>
      <c r="I653" s="1"/>
      <c r="J653" s="1"/>
      <c r="K653">
        <v>0</v>
      </c>
      <c r="L653">
        <v>0</v>
      </c>
      <c r="N653" s="21">
        <v>44415.628849618057</v>
      </c>
      <c r="O653" s="21">
        <v>44415.628849618057</v>
      </c>
      <c r="P653" s="21"/>
      <c r="Q653">
        <v>0</v>
      </c>
      <c r="T653">
        <v>60</v>
      </c>
    </row>
    <row r="654" spans="1:20" x14ac:dyDescent="0.25">
      <c r="A654">
        <v>654</v>
      </c>
      <c r="B654" s="1" t="s">
        <v>2912</v>
      </c>
      <c r="C654" s="1"/>
      <c r="D654" s="1" t="s">
        <v>2913</v>
      </c>
      <c r="E654" s="1"/>
      <c r="F654" s="1"/>
      <c r="G654" s="1" t="s">
        <v>713</v>
      </c>
      <c r="H654" s="1" t="s">
        <v>2914</v>
      </c>
      <c r="I654" s="1"/>
      <c r="J654" s="1"/>
      <c r="K654">
        <v>0</v>
      </c>
      <c r="L654">
        <v>0</v>
      </c>
      <c r="N654" s="21">
        <v>44415.628849618057</v>
      </c>
      <c r="O654" s="21">
        <v>44415.628849618057</v>
      </c>
      <c r="P654" s="21"/>
      <c r="Q654">
        <v>0</v>
      </c>
      <c r="T654">
        <v>60</v>
      </c>
    </row>
    <row r="655" spans="1:20" x14ac:dyDescent="0.25">
      <c r="A655">
        <v>655</v>
      </c>
      <c r="B655" s="1" t="s">
        <v>2915</v>
      </c>
      <c r="C655" s="1"/>
      <c r="D655" s="1" t="s">
        <v>2916</v>
      </c>
      <c r="E655" s="1"/>
      <c r="F655" s="1"/>
      <c r="G655" s="1"/>
      <c r="H655" s="1" t="s">
        <v>2917</v>
      </c>
      <c r="I655" s="1"/>
      <c r="J655" s="1"/>
      <c r="K655">
        <v>0</v>
      </c>
      <c r="L655">
        <v>0</v>
      </c>
      <c r="N655" s="21">
        <v>44415.628849618057</v>
      </c>
      <c r="O655" s="21">
        <v>44415.628849618057</v>
      </c>
      <c r="P655" s="21"/>
      <c r="Q655">
        <v>0</v>
      </c>
      <c r="T655">
        <v>60</v>
      </c>
    </row>
    <row r="656" spans="1:20" x14ac:dyDescent="0.25">
      <c r="A656">
        <v>656</v>
      </c>
      <c r="B656" s="1" t="s">
        <v>2918</v>
      </c>
      <c r="C656" s="1"/>
      <c r="D656" s="1" t="s">
        <v>2919</v>
      </c>
      <c r="E656" s="1"/>
      <c r="F656" s="1"/>
      <c r="G656" s="1" t="s">
        <v>634</v>
      </c>
      <c r="H656" s="1" t="s">
        <v>2920</v>
      </c>
      <c r="I656" s="1" t="s">
        <v>701</v>
      </c>
      <c r="J656" s="1" t="s">
        <v>641</v>
      </c>
      <c r="K656">
        <v>0</v>
      </c>
      <c r="L656">
        <v>0</v>
      </c>
      <c r="N656" s="21">
        <v>44415.628849618057</v>
      </c>
      <c r="O656" s="21">
        <v>44415.628849618057</v>
      </c>
      <c r="P656" s="21"/>
      <c r="Q656">
        <v>0</v>
      </c>
      <c r="T656">
        <v>60</v>
      </c>
    </row>
    <row r="657" spans="1:20" x14ac:dyDescent="0.25">
      <c r="A657">
        <v>657</v>
      </c>
      <c r="B657" s="1" t="s">
        <v>2921</v>
      </c>
      <c r="C657" s="1" t="s">
        <v>2922</v>
      </c>
      <c r="D657" s="1" t="s">
        <v>2923</v>
      </c>
      <c r="E657" s="1"/>
      <c r="F657" s="1"/>
      <c r="G657" s="1" t="s">
        <v>634</v>
      </c>
      <c r="H657" s="1" t="s">
        <v>2924</v>
      </c>
      <c r="I657" s="1" t="s">
        <v>568</v>
      </c>
      <c r="J657" s="1" t="s">
        <v>636</v>
      </c>
      <c r="K657">
        <v>0</v>
      </c>
      <c r="L657">
        <v>1</v>
      </c>
      <c r="M657">
        <v>155</v>
      </c>
      <c r="N657" s="21">
        <v>44415.628849618057</v>
      </c>
      <c r="O657" s="21">
        <v>44415.628849618057</v>
      </c>
      <c r="P657" s="21"/>
      <c r="Q657">
        <v>0</v>
      </c>
      <c r="T657">
        <v>60</v>
      </c>
    </row>
    <row r="658" spans="1:20" x14ac:dyDescent="0.25">
      <c r="A658">
        <v>658</v>
      </c>
      <c r="B658" s="1" t="s">
        <v>2925</v>
      </c>
      <c r="C658" s="1"/>
      <c r="D658" s="1" t="s">
        <v>2926</v>
      </c>
      <c r="E658" s="1"/>
      <c r="F658" s="1"/>
      <c r="G658" s="1"/>
      <c r="H658" s="1" t="s">
        <v>2927</v>
      </c>
      <c r="I658" s="1"/>
      <c r="J658" s="1"/>
      <c r="K658">
        <v>0</v>
      </c>
      <c r="L658">
        <v>0</v>
      </c>
      <c r="N658" s="21">
        <v>44415.628849618057</v>
      </c>
      <c r="O658" s="21">
        <v>44415.628849618057</v>
      </c>
      <c r="P658" s="21"/>
      <c r="Q658">
        <v>0</v>
      </c>
      <c r="T658">
        <v>60</v>
      </c>
    </row>
    <row r="659" spans="1:20" x14ac:dyDescent="0.25">
      <c r="A659">
        <v>659</v>
      </c>
      <c r="B659" s="1" t="s">
        <v>2928</v>
      </c>
      <c r="C659" s="1"/>
      <c r="D659" s="1" t="s">
        <v>2929</v>
      </c>
      <c r="E659" s="1"/>
      <c r="F659" s="1"/>
      <c r="G659" s="1"/>
      <c r="H659" s="1" t="s">
        <v>2930</v>
      </c>
      <c r="I659" s="1"/>
      <c r="J659" s="1" t="s">
        <v>641</v>
      </c>
      <c r="K659">
        <v>0</v>
      </c>
      <c r="L659">
        <v>0</v>
      </c>
      <c r="N659" s="21">
        <v>44415.628849618057</v>
      </c>
      <c r="O659" s="21">
        <v>44415.628849618057</v>
      </c>
      <c r="P659" s="21"/>
      <c r="Q659">
        <v>0</v>
      </c>
      <c r="T659">
        <v>60</v>
      </c>
    </row>
    <row r="660" spans="1:20" x14ac:dyDescent="0.25">
      <c r="A660">
        <v>660</v>
      </c>
      <c r="B660" s="1" t="s">
        <v>2931</v>
      </c>
      <c r="C660" s="1" t="s">
        <v>2932</v>
      </c>
      <c r="D660" s="1" t="s">
        <v>2933</v>
      </c>
      <c r="E660" s="1"/>
      <c r="F660" s="1" t="s">
        <v>2934</v>
      </c>
      <c r="G660" s="1" t="s">
        <v>713</v>
      </c>
      <c r="H660" s="1" t="s">
        <v>2935</v>
      </c>
      <c r="I660" s="1"/>
      <c r="J660" s="1" t="s">
        <v>636</v>
      </c>
      <c r="K660">
        <v>1</v>
      </c>
      <c r="L660">
        <v>1</v>
      </c>
      <c r="N660" s="21">
        <v>44415.628849618057</v>
      </c>
      <c r="O660" s="21">
        <v>44415.628849618057</v>
      </c>
      <c r="P660" s="21"/>
      <c r="Q660">
        <v>0</v>
      </c>
      <c r="T660">
        <v>60</v>
      </c>
    </row>
    <row r="661" spans="1:20" x14ac:dyDescent="0.25">
      <c r="A661">
        <v>661</v>
      </c>
      <c r="B661" s="1" t="s">
        <v>2936</v>
      </c>
      <c r="C661" s="1"/>
      <c r="D661" s="1" t="s">
        <v>2937</v>
      </c>
      <c r="E661" s="1" t="s">
        <v>2938</v>
      </c>
      <c r="F661" s="1" t="s">
        <v>2939</v>
      </c>
      <c r="G661" s="1" t="s">
        <v>713</v>
      </c>
      <c r="H661" s="1" t="s">
        <v>2940</v>
      </c>
      <c r="I661" s="1" t="s">
        <v>568</v>
      </c>
      <c r="J661" s="1" t="s">
        <v>636</v>
      </c>
      <c r="K661">
        <v>0</v>
      </c>
      <c r="L661">
        <v>0</v>
      </c>
      <c r="N661" s="21">
        <v>44415.628849618057</v>
      </c>
      <c r="O661" s="21">
        <v>44415.628849618057</v>
      </c>
      <c r="P661" s="21"/>
      <c r="Q661">
        <v>0</v>
      </c>
      <c r="T661">
        <v>60</v>
      </c>
    </row>
    <row r="662" spans="1:20" x14ac:dyDescent="0.25">
      <c r="A662">
        <v>662</v>
      </c>
      <c r="B662" s="1" t="s">
        <v>2941</v>
      </c>
      <c r="C662" s="1"/>
      <c r="D662" s="1" t="s">
        <v>2942</v>
      </c>
      <c r="E662" s="1"/>
      <c r="F662" s="1"/>
      <c r="G662" s="1" t="s">
        <v>713</v>
      </c>
      <c r="H662" s="1" t="s">
        <v>2943</v>
      </c>
      <c r="I662" s="1"/>
      <c r="J662" s="1" t="s">
        <v>641</v>
      </c>
      <c r="K662">
        <v>0</v>
      </c>
      <c r="L662">
        <v>0</v>
      </c>
      <c r="N662" s="21">
        <v>44415.628849618057</v>
      </c>
      <c r="O662" s="21">
        <v>44415.628849618057</v>
      </c>
      <c r="P662" s="21"/>
      <c r="Q662">
        <v>0</v>
      </c>
      <c r="T662">
        <v>60</v>
      </c>
    </row>
    <row r="663" spans="1:20" x14ac:dyDescent="0.25">
      <c r="A663">
        <v>663</v>
      </c>
      <c r="B663" s="1" t="s">
        <v>2944</v>
      </c>
      <c r="C663" s="1"/>
      <c r="D663" s="1" t="s">
        <v>2945</v>
      </c>
      <c r="E663" s="1" t="s">
        <v>2946</v>
      </c>
      <c r="F663" s="1"/>
      <c r="G663" s="1" t="s">
        <v>713</v>
      </c>
      <c r="H663" s="1" t="s">
        <v>2947</v>
      </c>
      <c r="I663" s="1"/>
      <c r="J663" s="1"/>
      <c r="K663">
        <v>0</v>
      </c>
      <c r="L663">
        <v>0</v>
      </c>
      <c r="N663" s="21">
        <v>44415.628849618057</v>
      </c>
      <c r="O663" s="21">
        <v>44415.628849618057</v>
      </c>
      <c r="P663" s="21"/>
      <c r="Q663">
        <v>0</v>
      </c>
      <c r="T663">
        <v>60</v>
      </c>
    </row>
    <row r="664" spans="1:20" x14ac:dyDescent="0.25">
      <c r="A664">
        <v>664</v>
      </c>
      <c r="B664" s="1" t="s">
        <v>2948</v>
      </c>
      <c r="C664" s="1"/>
      <c r="D664" s="1" t="s">
        <v>2949</v>
      </c>
      <c r="E664" s="1"/>
      <c r="F664" s="1"/>
      <c r="G664" s="1"/>
      <c r="H664" s="1" t="s">
        <v>2950</v>
      </c>
      <c r="I664" s="1"/>
      <c r="J664" s="1"/>
      <c r="K664">
        <v>0</v>
      </c>
      <c r="L664">
        <v>0</v>
      </c>
      <c r="N664" s="21">
        <v>44415.628849618057</v>
      </c>
      <c r="O664" s="21">
        <v>44415.628849618057</v>
      </c>
      <c r="P664" s="21"/>
      <c r="Q664">
        <v>0</v>
      </c>
      <c r="T664">
        <v>60</v>
      </c>
    </row>
    <row r="665" spans="1:20" x14ac:dyDescent="0.25">
      <c r="A665">
        <v>665</v>
      </c>
      <c r="B665" s="1" t="s">
        <v>2951</v>
      </c>
      <c r="C665" s="1"/>
      <c r="D665" s="1" t="s">
        <v>2952</v>
      </c>
      <c r="E665" s="1"/>
      <c r="F665" s="1"/>
      <c r="G665" s="1" t="s">
        <v>644</v>
      </c>
      <c r="H665" s="1" t="s">
        <v>2953</v>
      </c>
      <c r="I665" s="1" t="s">
        <v>568</v>
      </c>
      <c r="J665" s="1" t="s">
        <v>641</v>
      </c>
      <c r="K665">
        <v>0</v>
      </c>
      <c r="L665">
        <v>0</v>
      </c>
      <c r="N665" s="21">
        <v>44415.628849618057</v>
      </c>
      <c r="O665" s="21">
        <v>44415.628849618057</v>
      </c>
      <c r="P665" s="21"/>
      <c r="Q665">
        <v>0</v>
      </c>
      <c r="T665">
        <v>60</v>
      </c>
    </row>
    <row r="666" spans="1:20" x14ac:dyDescent="0.25">
      <c r="A666">
        <v>666</v>
      </c>
      <c r="B666" s="1" t="s">
        <v>2954</v>
      </c>
      <c r="C666" s="1"/>
      <c r="D666" s="1" t="s">
        <v>2955</v>
      </c>
      <c r="E666" s="1"/>
      <c r="F666" s="1"/>
      <c r="G666" s="1" t="s">
        <v>634</v>
      </c>
      <c r="H666" s="1" t="s">
        <v>2956</v>
      </c>
      <c r="I666" s="1" t="s">
        <v>782</v>
      </c>
      <c r="J666" s="1"/>
      <c r="K666">
        <v>0</v>
      </c>
      <c r="L666">
        <v>0</v>
      </c>
      <c r="N666" s="21">
        <v>44415.628849618057</v>
      </c>
      <c r="O666" s="21">
        <v>44415.628849618057</v>
      </c>
      <c r="P666" s="21"/>
      <c r="Q666">
        <v>0</v>
      </c>
      <c r="T666">
        <v>60</v>
      </c>
    </row>
    <row r="667" spans="1:20" x14ac:dyDescent="0.25">
      <c r="A667">
        <v>667</v>
      </c>
      <c r="B667" s="1" t="s">
        <v>2957</v>
      </c>
      <c r="C667" s="1"/>
      <c r="D667" s="1" t="s">
        <v>2958</v>
      </c>
      <c r="E667" s="1"/>
      <c r="F667" s="1"/>
      <c r="G667" s="1" t="s">
        <v>644</v>
      </c>
      <c r="H667" s="1" t="s">
        <v>2959</v>
      </c>
      <c r="I667" s="1"/>
      <c r="J667" s="1"/>
      <c r="K667">
        <v>0</v>
      </c>
      <c r="L667">
        <v>0</v>
      </c>
      <c r="N667" s="21">
        <v>44415.628849618057</v>
      </c>
      <c r="O667" s="21">
        <v>44415.628849618057</v>
      </c>
      <c r="P667" s="21"/>
      <c r="Q667">
        <v>0</v>
      </c>
      <c r="T667">
        <v>60</v>
      </c>
    </row>
    <row r="668" spans="1:20" x14ac:dyDescent="0.25">
      <c r="A668">
        <v>668</v>
      </c>
      <c r="B668" s="1" t="s">
        <v>2960</v>
      </c>
      <c r="C668" s="1"/>
      <c r="D668" s="1" t="s">
        <v>2961</v>
      </c>
      <c r="E668" s="1"/>
      <c r="F668" s="1"/>
      <c r="G668" s="1" t="s">
        <v>634</v>
      </c>
      <c r="H668" s="1" t="s">
        <v>2962</v>
      </c>
      <c r="I668" s="1" t="s">
        <v>568</v>
      </c>
      <c r="J668" s="1" t="s">
        <v>641</v>
      </c>
      <c r="K668">
        <v>0</v>
      </c>
      <c r="L668">
        <v>0</v>
      </c>
      <c r="N668" s="21">
        <v>44415.628849618057</v>
      </c>
      <c r="O668" s="21">
        <v>44415.628849618057</v>
      </c>
      <c r="P668" s="21"/>
      <c r="Q668">
        <v>0</v>
      </c>
      <c r="T668">
        <v>60</v>
      </c>
    </row>
    <row r="669" spans="1:20" x14ac:dyDescent="0.25">
      <c r="A669">
        <v>669</v>
      </c>
      <c r="B669" s="1" t="s">
        <v>2963</v>
      </c>
      <c r="C669" s="1"/>
      <c r="D669" s="1" t="s">
        <v>2964</v>
      </c>
      <c r="E669" s="1"/>
      <c r="F669" s="1"/>
      <c r="G669" s="1" t="s">
        <v>644</v>
      </c>
      <c r="H669" s="1" t="s">
        <v>2965</v>
      </c>
      <c r="I669" s="1" t="s">
        <v>568</v>
      </c>
      <c r="J669" s="1" t="s">
        <v>636</v>
      </c>
      <c r="K669">
        <v>0</v>
      </c>
      <c r="L669">
        <v>0</v>
      </c>
      <c r="N669" s="21">
        <v>44415.628849618057</v>
      </c>
      <c r="O669" s="21">
        <v>44415.628849618057</v>
      </c>
      <c r="P669" s="21"/>
      <c r="Q669">
        <v>0</v>
      </c>
      <c r="T669">
        <v>60</v>
      </c>
    </row>
    <row r="670" spans="1:20" x14ac:dyDescent="0.25">
      <c r="A670">
        <v>670</v>
      </c>
      <c r="B670" s="1" t="s">
        <v>2966</v>
      </c>
      <c r="C670" s="1"/>
      <c r="D670" s="1" t="s">
        <v>2967</v>
      </c>
      <c r="E670" s="1"/>
      <c r="F670" s="1"/>
      <c r="G670" s="1"/>
      <c r="H670" s="1" t="s">
        <v>2968</v>
      </c>
      <c r="I670" s="1"/>
      <c r="J670" s="1"/>
      <c r="K670">
        <v>0</v>
      </c>
      <c r="L670">
        <v>0</v>
      </c>
      <c r="N670" s="21">
        <v>44415.628849618057</v>
      </c>
      <c r="O670" s="21">
        <v>44415.628849618057</v>
      </c>
      <c r="P670" s="21"/>
      <c r="Q670">
        <v>0</v>
      </c>
      <c r="T670">
        <v>60</v>
      </c>
    </row>
    <row r="671" spans="1:20" x14ac:dyDescent="0.25">
      <c r="A671">
        <v>671</v>
      </c>
      <c r="B671" s="1" t="s">
        <v>2969</v>
      </c>
      <c r="C671" s="1" t="s">
        <v>2970</v>
      </c>
      <c r="D671" s="1" t="s">
        <v>2971</v>
      </c>
      <c r="E671" s="1"/>
      <c r="F671" s="1"/>
      <c r="G671" s="1" t="s">
        <v>644</v>
      </c>
      <c r="H671" s="1" t="s">
        <v>2972</v>
      </c>
      <c r="I671" s="1" t="s">
        <v>568</v>
      </c>
      <c r="J671" s="1" t="s">
        <v>636</v>
      </c>
      <c r="K671">
        <v>0</v>
      </c>
      <c r="L671">
        <v>1</v>
      </c>
      <c r="M671">
        <v>138</v>
      </c>
      <c r="N671" s="21">
        <v>44415.628849618057</v>
      </c>
      <c r="O671" s="21">
        <v>44415.628849618057</v>
      </c>
      <c r="P671" s="21"/>
      <c r="Q671">
        <v>0</v>
      </c>
      <c r="T671">
        <v>60</v>
      </c>
    </row>
    <row r="672" spans="1:20" x14ac:dyDescent="0.25">
      <c r="A672">
        <v>672</v>
      </c>
      <c r="B672" s="1" t="s">
        <v>2973</v>
      </c>
      <c r="C672" s="1"/>
      <c r="D672" s="1" t="s">
        <v>2974</v>
      </c>
      <c r="E672" s="1"/>
      <c r="F672" s="1"/>
      <c r="G672" s="1" t="s">
        <v>644</v>
      </c>
      <c r="H672" s="1" t="s">
        <v>2975</v>
      </c>
      <c r="I672" s="1"/>
      <c r="J672" s="1"/>
      <c r="K672">
        <v>0</v>
      </c>
      <c r="L672">
        <v>0</v>
      </c>
      <c r="N672" s="21">
        <v>44415.628849618057</v>
      </c>
      <c r="O672" s="21">
        <v>44415.628849618057</v>
      </c>
      <c r="P672" s="21"/>
      <c r="Q672">
        <v>0</v>
      </c>
      <c r="T672">
        <v>60</v>
      </c>
    </row>
    <row r="673" spans="1:20" x14ac:dyDescent="0.25">
      <c r="A673">
        <v>673</v>
      </c>
      <c r="B673" s="1" t="s">
        <v>2976</v>
      </c>
      <c r="C673" s="1" t="s">
        <v>2977</v>
      </c>
      <c r="D673" s="1" t="s">
        <v>2978</v>
      </c>
      <c r="E673" s="1"/>
      <c r="F673" s="1"/>
      <c r="G673" s="1" t="s">
        <v>644</v>
      </c>
      <c r="H673" s="1" t="s">
        <v>2979</v>
      </c>
      <c r="I673" s="1" t="s">
        <v>808</v>
      </c>
      <c r="J673" s="1" t="s">
        <v>636</v>
      </c>
      <c r="K673">
        <v>0</v>
      </c>
      <c r="L673">
        <v>1</v>
      </c>
      <c r="M673">
        <v>117</v>
      </c>
      <c r="N673" s="21">
        <v>44415.628849618057</v>
      </c>
      <c r="O673" s="21">
        <v>44415.628849618057</v>
      </c>
      <c r="P673" s="21"/>
      <c r="Q673">
        <v>0</v>
      </c>
      <c r="T673">
        <v>60</v>
      </c>
    </row>
    <row r="674" spans="1:20" x14ac:dyDescent="0.25">
      <c r="A674">
        <v>674</v>
      </c>
      <c r="B674" s="1" t="s">
        <v>2980</v>
      </c>
      <c r="C674" s="1"/>
      <c r="D674" s="1" t="s">
        <v>2981</v>
      </c>
      <c r="E674" s="1" t="s">
        <v>2982</v>
      </c>
      <c r="F674" s="1"/>
      <c r="G674" s="1" t="s">
        <v>644</v>
      </c>
      <c r="H674" s="1" t="s">
        <v>2983</v>
      </c>
      <c r="I674" s="1" t="s">
        <v>2984</v>
      </c>
      <c r="J674" s="1"/>
      <c r="K674">
        <v>0</v>
      </c>
      <c r="L674">
        <v>0</v>
      </c>
      <c r="N674" s="21">
        <v>44415.628849618057</v>
      </c>
      <c r="O674" s="21">
        <v>44415.628849618057</v>
      </c>
      <c r="P674" s="21"/>
      <c r="Q674">
        <v>0</v>
      </c>
      <c r="T674">
        <v>60</v>
      </c>
    </row>
    <row r="675" spans="1:20" x14ac:dyDescent="0.25">
      <c r="A675">
        <v>675</v>
      </c>
      <c r="B675" s="1" t="s">
        <v>2985</v>
      </c>
      <c r="C675" s="1" t="s">
        <v>2986</v>
      </c>
      <c r="D675" s="1" t="s">
        <v>2987</v>
      </c>
      <c r="E675" s="1"/>
      <c r="F675" s="1"/>
      <c r="G675" s="1" t="s">
        <v>634</v>
      </c>
      <c r="H675" s="1" t="s">
        <v>2988</v>
      </c>
      <c r="I675" s="1" t="s">
        <v>568</v>
      </c>
      <c r="J675" s="1" t="s">
        <v>641</v>
      </c>
      <c r="K675">
        <v>0</v>
      </c>
      <c r="L675">
        <v>1</v>
      </c>
      <c r="M675">
        <v>3806</v>
      </c>
      <c r="N675" s="21">
        <v>44415.628849618057</v>
      </c>
      <c r="O675" s="21">
        <v>44415.628849618057</v>
      </c>
      <c r="P675" s="21"/>
      <c r="Q675">
        <v>0</v>
      </c>
      <c r="T675">
        <v>60</v>
      </c>
    </row>
    <row r="676" spans="1:20" x14ac:dyDescent="0.25">
      <c r="A676">
        <v>676</v>
      </c>
      <c r="B676" s="1" t="s">
        <v>2989</v>
      </c>
      <c r="C676" s="1"/>
      <c r="D676" s="1" t="s">
        <v>2990</v>
      </c>
      <c r="E676" s="1"/>
      <c r="F676" s="1"/>
      <c r="G676" s="1" t="s">
        <v>713</v>
      </c>
      <c r="H676" s="1" t="s">
        <v>2991</v>
      </c>
      <c r="I676" s="1"/>
      <c r="J676" s="1"/>
      <c r="K676">
        <v>0</v>
      </c>
      <c r="L676">
        <v>0</v>
      </c>
      <c r="N676" s="21">
        <v>44415.628849618057</v>
      </c>
      <c r="O676" s="21">
        <v>44415.628849618057</v>
      </c>
      <c r="P676" s="21"/>
      <c r="Q676">
        <v>0</v>
      </c>
      <c r="T676">
        <v>60</v>
      </c>
    </row>
    <row r="677" spans="1:20" x14ac:dyDescent="0.25">
      <c r="A677">
        <v>677</v>
      </c>
      <c r="B677" s="1" t="s">
        <v>2992</v>
      </c>
      <c r="C677" s="1" t="s">
        <v>2993</v>
      </c>
      <c r="D677" s="1" t="s">
        <v>2994</v>
      </c>
      <c r="E677" s="1" t="s">
        <v>2995</v>
      </c>
      <c r="F677" s="1"/>
      <c r="G677" s="1" t="s">
        <v>713</v>
      </c>
      <c r="H677" s="1" t="s">
        <v>2996</v>
      </c>
      <c r="I677" s="1"/>
      <c r="J677" s="1" t="s">
        <v>636</v>
      </c>
      <c r="K677">
        <v>1</v>
      </c>
      <c r="L677">
        <v>0</v>
      </c>
      <c r="N677" s="21">
        <v>44415.628849618057</v>
      </c>
      <c r="O677" s="21">
        <v>44415.628849618057</v>
      </c>
      <c r="P677" s="21"/>
      <c r="Q677">
        <v>0</v>
      </c>
      <c r="T677">
        <v>60</v>
      </c>
    </row>
    <row r="678" spans="1:20" x14ac:dyDescent="0.25">
      <c r="A678">
        <v>678</v>
      </c>
      <c r="B678" s="1" t="s">
        <v>2997</v>
      </c>
      <c r="C678" s="1"/>
      <c r="D678" s="1" t="s">
        <v>2994</v>
      </c>
      <c r="E678" s="1" t="s">
        <v>2998</v>
      </c>
      <c r="F678" s="1"/>
      <c r="G678" s="1" t="s">
        <v>713</v>
      </c>
      <c r="H678" s="1" t="s">
        <v>2996</v>
      </c>
      <c r="I678" s="1"/>
      <c r="J678" s="1"/>
      <c r="K678">
        <v>1</v>
      </c>
      <c r="L678">
        <v>0</v>
      </c>
      <c r="N678" s="21">
        <v>44415.628849618057</v>
      </c>
      <c r="O678" s="21">
        <v>44415.628849618057</v>
      </c>
      <c r="P678" s="21"/>
      <c r="Q678">
        <v>0</v>
      </c>
      <c r="T678">
        <v>60</v>
      </c>
    </row>
    <row r="679" spans="1:20" x14ac:dyDescent="0.25">
      <c r="A679">
        <v>679</v>
      </c>
      <c r="B679" s="1" t="s">
        <v>2999</v>
      </c>
      <c r="C679" s="1" t="s">
        <v>3000</v>
      </c>
      <c r="D679" s="1" t="s">
        <v>3001</v>
      </c>
      <c r="E679" s="1"/>
      <c r="F679" s="1"/>
      <c r="G679" s="1" t="s">
        <v>713</v>
      </c>
      <c r="H679" s="1" t="s">
        <v>3002</v>
      </c>
      <c r="I679" s="1"/>
      <c r="J679" s="1" t="s">
        <v>641</v>
      </c>
      <c r="K679">
        <v>1</v>
      </c>
      <c r="L679">
        <v>0</v>
      </c>
      <c r="N679" s="21">
        <v>44415.628849618057</v>
      </c>
      <c r="O679" s="21">
        <v>44415.628849618057</v>
      </c>
      <c r="P679" s="21"/>
      <c r="Q679">
        <v>0</v>
      </c>
      <c r="T679">
        <v>60</v>
      </c>
    </row>
    <row r="680" spans="1:20" x14ac:dyDescent="0.25">
      <c r="A680">
        <v>680</v>
      </c>
      <c r="B680" s="1" t="s">
        <v>3003</v>
      </c>
      <c r="C680" s="1" t="s">
        <v>3004</v>
      </c>
      <c r="D680" s="1" t="s">
        <v>3005</v>
      </c>
      <c r="E680" s="1" t="s">
        <v>3003</v>
      </c>
      <c r="F680" s="1"/>
      <c r="G680" s="1" t="s">
        <v>713</v>
      </c>
      <c r="H680" s="1" t="s">
        <v>3006</v>
      </c>
      <c r="I680" s="1"/>
      <c r="J680" s="1" t="s">
        <v>636</v>
      </c>
      <c r="K680">
        <v>1</v>
      </c>
      <c r="L680">
        <v>0</v>
      </c>
      <c r="N680" s="21">
        <v>44415.628849618057</v>
      </c>
      <c r="O680" s="21">
        <v>44415.628849618057</v>
      </c>
      <c r="P680" s="21"/>
      <c r="Q680">
        <v>0</v>
      </c>
      <c r="T680">
        <v>60</v>
      </c>
    </row>
    <row r="681" spans="1:20" x14ac:dyDescent="0.25">
      <c r="A681">
        <v>681</v>
      </c>
      <c r="B681" s="1" t="s">
        <v>3007</v>
      </c>
      <c r="C681" s="1" t="s">
        <v>3008</v>
      </c>
      <c r="D681" s="1" t="s">
        <v>3009</v>
      </c>
      <c r="E681" s="1"/>
      <c r="F681" s="1"/>
      <c r="G681" s="1"/>
      <c r="H681" s="1" t="s">
        <v>3010</v>
      </c>
      <c r="I681" s="1"/>
      <c r="J681" s="1" t="s">
        <v>636</v>
      </c>
      <c r="K681">
        <v>1</v>
      </c>
      <c r="L681">
        <v>0</v>
      </c>
      <c r="N681" s="21">
        <v>44415.628849618057</v>
      </c>
      <c r="O681" s="21">
        <v>44415.628849618057</v>
      </c>
      <c r="P681" s="21"/>
      <c r="Q681">
        <v>0</v>
      </c>
      <c r="T681">
        <v>60</v>
      </c>
    </row>
    <row r="682" spans="1:20" x14ac:dyDescent="0.25">
      <c r="A682">
        <v>682</v>
      </c>
      <c r="B682" s="1" t="s">
        <v>3011</v>
      </c>
      <c r="C682" s="1" t="s">
        <v>3012</v>
      </c>
      <c r="D682" s="1" t="s">
        <v>3013</v>
      </c>
      <c r="E682" s="1" t="s">
        <v>3011</v>
      </c>
      <c r="F682" s="1"/>
      <c r="G682" s="1" t="s">
        <v>713</v>
      </c>
      <c r="H682" s="1" t="s">
        <v>3014</v>
      </c>
      <c r="I682" s="1"/>
      <c r="J682" s="1" t="s">
        <v>636</v>
      </c>
      <c r="K682">
        <v>1</v>
      </c>
      <c r="L682">
        <v>0</v>
      </c>
      <c r="N682" s="21">
        <v>44415.628849618057</v>
      </c>
      <c r="O682" s="21">
        <v>44415.628849618057</v>
      </c>
      <c r="P682" s="21"/>
      <c r="Q682">
        <v>0</v>
      </c>
      <c r="T682">
        <v>60</v>
      </c>
    </row>
    <row r="683" spans="1:20" x14ac:dyDescent="0.25">
      <c r="A683">
        <v>683</v>
      </c>
      <c r="B683" s="1" t="s">
        <v>3015</v>
      </c>
      <c r="C683" s="1"/>
      <c r="D683" s="1" t="s">
        <v>3016</v>
      </c>
      <c r="E683" s="1"/>
      <c r="F683" s="1" t="s">
        <v>3017</v>
      </c>
      <c r="G683" s="1" t="s">
        <v>713</v>
      </c>
      <c r="H683" s="1" t="s">
        <v>3018</v>
      </c>
      <c r="I683" s="1"/>
      <c r="J683" s="1" t="s">
        <v>636</v>
      </c>
      <c r="K683">
        <v>0</v>
      </c>
      <c r="L683">
        <v>0</v>
      </c>
      <c r="N683" s="21">
        <v>44415.628849618057</v>
      </c>
      <c r="O683" s="21">
        <v>44415.628849618057</v>
      </c>
      <c r="P683" s="21"/>
      <c r="Q683">
        <v>0</v>
      </c>
      <c r="T683">
        <v>60</v>
      </c>
    </row>
    <row r="684" spans="1:20" x14ac:dyDescent="0.25">
      <c r="A684">
        <v>684</v>
      </c>
      <c r="B684" s="1" t="s">
        <v>3019</v>
      </c>
      <c r="C684" s="1"/>
      <c r="D684" s="1" t="s">
        <v>3020</v>
      </c>
      <c r="E684" s="1"/>
      <c r="F684" s="1"/>
      <c r="G684" s="1"/>
      <c r="H684" s="1" t="s">
        <v>3021</v>
      </c>
      <c r="I684" s="1"/>
      <c r="J684" s="1"/>
      <c r="K684">
        <v>0</v>
      </c>
      <c r="L684">
        <v>0</v>
      </c>
      <c r="N684" s="21">
        <v>44415.628849618057</v>
      </c>
      <c r="O684" s="21">
        <v>44415.628849618057</v>
      </c>
      <c r="P684" s="21"/>
      <c r="Q684">
        <v>0</v>
      </c>
      <c r="T684">
        <v>60</v>
      </c>
    </row>
    <row r="685" spans="1:20" x14ac:dyDescent="0.25">
      <c r="A685">
        <v>685</v>
      </c>
      <c r="B685" s="1" t="s">
        <v>3022</v>
      </c>
      <c r="C685" s="1"/>
      <c r="D685" s="1" t="s">
        <v>3023</v>
      </c>
      <c r="E685" s="1"/>
      <c r="F685" s="1"/>
      <c r="G685" s="1" t="s">
        <v>713</v>
      </c>
      <c r="H685" s="1" t="s">
        <v>3024</v>
      </c>
      <c r="I685" s="1"/>
      <c r="J685" s="1"/>
      <c r="K685">
        <v>0</v>
      </c>
      <c r="L685">
        <v>0</v>
      </c>
      <c r="N685" s="21">
        <v>44415.628849618057</v>
      </c>
      <c r="O685" s="21">
        <v>44415.628849618057</v>
      </c>
      <c r="P685" s="21"/>
      <c r="Q685">
        <v>0</v>
      </c>
      <c r="T685">
        <v>60</v>
      </c>
    </row>
    <row r="686" spans="1:20" x14ac:dyDescent="0.25">
      <c r="A686">
        <v>686</v>
      </c>
      <c r="B686" s="1" t="s">
        <v>3025</v>
      </c>
      <c r="C686" s="1"/>
      <c r="D686" s="1" t="s">
        <v>3026</v>
      </c>
      <c r="E686" s="1"/>
      <c r="F686" s="1"/>
      <c r="G686" s="1"/>
      <c r="H686" s="1" t="s">
        <v>3027</v>
      </c>
      <c r="I686" s="1"/>
      <c r="J686" s="1"/>
      <c r="K686">
        <v>0</v>
      </c>
      <c r="L686">
        <v>0</v>
      </c>
      <c r="N686" s="21">
        <v>44415.628849618057</v>
      </c>
      <c r="O686" s="21">
        <v>44415.628849618057</v>
      </c>
      <c r="P686" s="21"/>
      <c r="Q686">
        <v>0</v>
      </c>
      <c r="T686">
        <v>60</v>
      </c>
    </row>
    <row r="687" spans="1:20" x14ac:dyDescent="0.25">
      <c r="A687">
        <v>687</v>
      </c>
      <c r="B687" s="1" t="s">
        <v>3028</v>
      </c>
      <c r="C687" s="1"/>
      <c r="D687" s="1" t="s">
        <v>3029</v>
      </c>
      <c r="E687" s="1"/>
      <c r="F687" s="1" t="s">
        <v>3030</v>
      </c>
      <c r="G687" s="1" t="s">
        <v>713</v>
      </c>
      <c r="H687" s="1" t="s">
        <v>3031</v>
      </c>
      <c r="I687" s="1"/>
      <c r="J687" s="1" t="s">
        <v>641</v>
      </c>
      <c r="K687">
        <v>0</v>
      </c>
      <c r="L687">
        <v>0</v>
      </c>
      <c r="N687" s="21">
        <v>44415.628849618057</v>
      </c>
      <c r="O687" s="21">
        <v>44415.628849618057</v>
      </c>
      <c r="P687" s="21"/>
      <c r="Q687">
        <v>0</v>
      </c>
      <c r="T687">
        <v>60</v>
      </c>
    </row>
    <row r="688" spans="1:20" x14ac:dyDescent="0.25">
      <c r="A688">
        <v>688</v>
      </c>
      <c r="B688" s="1" t="s">
        <v>3032</v>
      </c>
      <c r="C688" s="1"/>
      <c r="D688" s="1" t="s">
        <v>3033</v>
      </c>
      <c r="E688" s="1"/>
      <c r="F688" s="1"/>
      <c r="G688" s="1"/>
      <c r="H688" s="1" t="s">
        <v>3034</v>
      </c>
      <c r="I688" s="1"/>
      <c r="J688" s="1"/>
      <c r="K688">
        <v>1</v>
      </c>
      <c r="L688">
        <v>0</v>
      </c>
      <c r="N688" s="21">
        <v>44415.628849618057</v>
      </c>
      <c r="O688" s="21">
        <v>44415.628849618057</v>
      </c>
      <c r="P688" s="21"/>
      <c r="Q688">
        <v>0</v>
      </c>
      <c r="T688">
        <v>60</v>
      </c>
    </row>
    <row r="689" spans="1:20" x14ac:dyDescent="0.25">
      <c r="A689">
        <v>689</v>
      </c>
      <c r="B689" s="1" t="s">
        <v>3035</v>
      </c>
      <c r="C689" s="1"/>
      <c r="D689" s="1" t="s">
        <v>3036</v>
      </c>
      <c r="E689" s="1"/>
      <c r="F689" s="1"/>
      <c r="G689" s="1" t="s">
        <v>713</v>
      </c>
      <c r="H689" s="1" t="s">
        <v>3037</v>
      </c>
      <c r="I689" s="1"/>
      <c r="J689" s="1"/>
      <c r="K689">
        <v>0</v>
      </c>
      <c r="L689">
        <v>0</v>
      </c>
      <c r="N689" s="21">
        <v>44415.628849618057</v>
      </c>
      <c r="O689" s="21">
        <v>44415.628849618057</v>
      </c>
      <c r="P689" s="21"/>
      <c r="Q689">
        <v>0</v>
      </c>
      <c r="T689">
        <v>60</v>
      </c>
    </row>
    <row r="690" spans="1:20" x14ac:dyDescent="0.25">
      <c r="A690">
        <v>690</v>
      </c>
      <c r="B690" s="1" t="s">
        <v>3038</v>
      </c>
      <c r="C690" s="1" t="s">
        <v>3039</v>
      </c>
      <c r="D690" s="1" t="s">
        <v>3040</v>
      </c>
      <c r="E690" s="1"/>
      <c r="F690" s="1"/>
      <c r="G690" s="1"/>
      <c r="H690" s="1" t="s">
        <v>3041</v>
      </c>
      <c r="I690" s="1" t="s">
        <v>568</v>
      </c>
      <c r="J690" s="1" t="s">
        <v>636</v>
      </c>
      <c r="K690">
        <v>0</v>
      </c>
      <c r="L690">
        <v>1</v>
      </c>
      <c r="M690">
        <v>99</v>
      </c>
      <c r="N690" s="21">
        <v>44415.628849618057</v>
      </c>
      <c r="O690" s="21">
        <v>44415.628849618057</v>
      </c>
      <c r="P690" s="21"/>
      <c r="Q690">
        <v>0</v>
      </c>
      <c r="T690">
        <v>60</v>
      </c>
    </row>
    <row r="691" spans="1:20" x14ac:dyDescent="0.25">
      <c r="A691">
        <v>691</v>
      </c>
      <c r="B691" s="1" t="s">
        <v>3042</v>
      </c>
      <c r="C691" s="1" t="s">
        <v>3043</v>
      </c>
      <c r="D691" s="1" t="s">
        <v>3044</v>
      </c>
      <c r="E691" s="1"/>
      <c r="F691" s="1"/>
      <c r="G691" s="1" t="s">
        <v>634</v>
      </c>
      <c r="H691" s="1" t="s">
        <v>3045</v>
      </c>
      <c r="I691" s="1" t="s">
        <v>568</v>
      </c>
      <c r="J691" s="1" t="s">
        <v>641</v>
      </c>
      <c r="K691">
        <v>0</v>
      </c>
      <c r="L691">
        <v>1</v>
      </c>
      <c r="M691">
        <v>5301</v>
      </c>
      <c r="N691" s="21">
        <v>44415.628849618057</v>
      </c>
      <c r="O691" s="21">
        <v>44415.628849618057</v>
      </c>
      <c r="P691" s="21"/>
      <c r="Q691">
        <v>0</v>
      </c>
      <c r="T691">
        <v>60</v>
      </c>
    </row>
    <row r="692" spans="1:20" x14ac:dyDescent="0.25">
      <c r="A692">
        <v>692</v>
      </c>
      <c r="B692" s="1" t="s">
        <v>3046</v>
      </c>
      <c r="C692" s="1"/>
      <c r="D692" s="1" t="s">
        <v>3047</v>
      </c>
      <c r="E692" s="1"/>
      <c r="F692" s="1"/>
      <c r="G692" s="1" t="s">
        <v>713</v>
      </c>
      <c r="H692" s="1" t="s">
        <v>3048</v>
      </c>
      <c r="I692" s="1"/>
      <c r="J692" s="1" t="s">
        <v>641</v>
      </c>
      <c r="K692">
        <v>0</v>
      </c>
      <c r="L692">
        <v>0</v>
      </c>
      <c r="N692" s="21">
        <v>44415.628849618057</v>
      </c>
      <c r="O692" s="21">
        <v>44415.628849618057</v>
      </c>
      <c r="P692" s="21"/>
      <c r="Q692">
        <v>0</v>
      </c>
      <c r="T692">
        <v>60</v>
      </c>
    </row>
    <row r="693" spans="1:20" x14ac:dyDescent="0.25">
      <c r="A693">
        <v>693</v>
      </c>
      <c r="B693" s="1" t="s">
        <v>3049</v>
      </c>
      <c r="C693" s="1"/>
      <c r="D693" s="1" t="s">
        <v>3050</v>
      </c>
      <c r="E693" s="1"/>
      <c r="F693" s="1"/>
      <c r="G693" s="1"/>
      <c r="H693" s="1" t="s">
        <v>3051</v>
      </c>
      <c r="I693" s="1"/>
      <c r="J693" s="1"/>
      <c r="K693">
        <v>0</v>
      </c>
      <c r="L693">
        <v>0</v>
      </c>
      <c r="N693" s="21">
        <v>44415.628849618057</v>
      </c>
      <c r="O693" s="21">
        <v>44415.628849618057</v>
      </c>
      <c r="P693" s="21"/>
      <c r="Q693">
        <v>0</v>
      </c>
      <c r="T693">
        <v>60</v>
      </c>
    </row>
    <row r="694" spans="1:20" x14ac:dyDescent="0.25">
      <c r="A694">
        <v>694</v>
      </c>
      <c r="B694" s="1" t="s">
        <v>3052</v>
      </c>
      <c r="C694" s="1" t="s">
        <v>3053</v>
      </c>
      <c r="D694" s="1" t="s">
        <v>3054</v>
      </c>
      <c r="E694" s="1" t="s">
        <v>3052</v>
      </c>
      <c r="F694" s="1"/>
      <c r="G694" s="1" t="s">
        <v>713</v>
      </c>
      <c r="H694" s="1" t="s">
        <v>3055</v>
      </c>
      <c r="I694" s="1"/>
      <c r="J694" s="1" t="s">
        <v>641</v>
      </c>
      <c r="K694">
        <v>1</v>
      </c>
      <c r="L694">
        <v>0</v>
      </c>
      <c r="N694" s="21">
        <v>44415.628849618057</v>
      </c>
      <c r="O694" s="21">
        <v>44415.628849618057</v>
      </c>
      <c r="P694" s="21"/>
      <c r="Q694">
        <v>0</v>
      </c>
      <c r="T694">
        <v>60</v>
      </c>
    </row>
    <row r="695" spans="1:20" x14ac:dyDescent="0.25">
      <c r="A695">
        <v>695</v>
      </c>
      <c r="B695" s="1" t="s">
        <v>3056</v>
      </c>
      <c r="C695" s="1" t="s">
        <v>3057</v>
      </c>
      <c r="D695" s="1" t="s">
        <v>3058</v>
      </c>
      <c r="E695" s="1"/>
      <c r="F695" s="1"/>
      <c r="G695" s="1" t="s">
        <v>713</v>
      </c>
      <c r="H695" s="1" t="s">
        <v>3059</v>
      </c>
      <c r="I695" s="1"/>
      <c r="J695" s="1" t="s">
        <v>636</v>
      </c>
      <c r="K695">
        <v>1</v>
      </c>
      <c r="L695">
        <v>0</v>
      </c>
      <c r="N695" s="21">
        <v>44415.628849618057</v>
      </c>
      <c r="O695" s="21">
        <v>44415.628849618057</v>
      </c>
      <c r="P695" s="21"/>
      <c r="Q695">
        <v>0</v>
      </c>
      <c r="T695">
        <v>60</v>
      </c>
    </row>
    <row r="696" spans="1:20" x14ac:dyDescent="0.25">
      <c r="A696">
        <v>696</v>
      </c>
      <c r="B696" s="1" t="s">
        <v>3060</v>
      </c>
      <c r="C696" s="1"/>
      <c r="D696" s="1" t="s">
        <v>3061</v>
      </c>
      <c r="E696" s="1"/>
      <c r="F696" s="1"/>
      <c r="G696" s="1"/>
      <c r="H696" s="1" t="s">
        <v>3062</v>
      </c>
      <c r="I696" s="1"/>
      <c r="J696" s="1"/>
      <c r="K696">
        <v>0</v>
      </c>
      <c r="L696">
        <v>0</v>
      </c>
      <c r="N696" s="21">
        <v>44415.628849618057</v>
      </c>
      <c r="O696" s="21">
        <v>44415.628849618057</v>
      </c>
      <c r="P696" s="21"/>
      <c r="Q696">
        <v>0</v>
      </c>
      <c r="T696">
        <v>60</v>
      </c>
    </row>
    <row r="697" spans="1:20" x14ac:dyDescent="0.25">
      <c r="A697">
        <v>697</v>
      </c>
      <c r="B697" s="1" t="s">
        <v>3063</v>
      </c>
      <c r="C697" s="1"/>
      <c r="D697" s="1" t="s">
        <v>3064</v>
      </c>
      <c r="E697" s="1"/>
      <c r="F697" s="1" t="s">
        <v>3065</v>
      </c>
      <c r="G697" s="1" t="s">
        <v>634</v>
      </c>
      <c r="H697" s="1" t="s">
        <v>3066</v>
      </c>
      <c r="I697" s="1"/>
      <c r="J697" s="1"/>
      <c r="K697">
        <v>0</v>
      </c>
      <c r="L697">
        <v>0</v>
      </c>
      <c r="N697" s="21">
        <v>44415.628849618057</v>
      </c>
      <c r="O697" s="21">
        <v>44415.628849618057</v>
      </c>
      <c r="P697" s="21"/>
      <c r="Q697">
        <v>0</v>
      </c>
      <c r="T697">
        <v>60</v>
      </c>
    </row>
    <row r="698" spans="1:20" x14ac:dyDescent="0.25">
      <c r="A698">
        <v>698</v>
      </c>
      <c r="B698" s="1" t="s">
        <v>3067</v>
      </c>
      <c r="C698" s="1" t="s">
        <v>3068</v>
      </c>
      <c r="D698" s="1" t="s">
        <v>3069</v>
      </c>
      <c r="E698" s="1" t="s">
        <v>3067</v>
      </c>
      <c r="F698" s="1"/>
      <c r="G698" s="1" t="s">
        <v>713</v>
      </c>
      <c r="H698" s="1" t="s">
        <v>3070</v>
      </c>
      <c r="I698" s="1"/>
      <c r="J698" s="1" t="s">
        <v>636</v>
      </c>
      <c r="K698">
        <v>1</v>
      </c>
      <c r="L698">
        <v>0</v>
      </c>
      <c r="N698" s="21">
        <v>44415.628849618057</v>
      </c>
      <c r="O698" s="21">
        <v>44415.628849618057</v>
      </c>
      <c r="P698" s="21"/>
      <c r="Q698">
        <v>0</v>
      </c>
      <c r="T698">
        <v>60</v>
      </c>
    </row>
    <row r="699" spans="1:20" x14ac:dyDescent="0.25">
      <c r="A699">
        <v>699</v>
      </c>
      <c r="B699" s="1" t="s">
        <v>3071</v>
      </c>
      <c r="C699" s="1"/>
      <c r="D699" s="1" t="s">
        <v>3072</v>
      </c>
      <c r="E699" s="1" t="s">
        <v>3073</v>
      </c>
      <c r="F699" s="1"/>
      <c r="G699" s="1" t="s">
        <v>713</v>
      </c>
      <c r="H699" s="1" t="s">
        <v>3074</v>
      </c>
      <c r="I699" s="1"/>
      <c r="J699" s="1"/>
      <c r="K699">
        <v>0</v>
      </c>
      <c r="L699">
        <v>0</v>
      </c>
      <c r="N699" s="21">
        <v>44415.628849618057</v>
      </c>
      <c r="O699" s="21">
        <v>44415.628849618057</v>
      </c>
      <c r="P699" s="21"/>
      <c r="Q699">
        <v>0</v>
      </c>
      <c r="T699">
        <v>60</v>
      </c>
    </row>
    <row r="700" spans="1:20" x14ac:dyDescent="0.25">
      <c r="A700">
        <v>700</v>
      </c>
      <c r="B700" s="1" t="s">
        <v>3075</v>
      </c>
      <c r="C700" s="1"/>
      <c r="D700" s="1" t="s">
        <v>3076</v>
      </c>
      <c r="E700" s="1"/>
      <c r="F700" s="1"/>
      <c r="G700" s="1"/>
      <c r="H700" s="1" t="s">
        <v>3077</v>
      </c>
      <c r="I700" s="1" t="s">
        <v>568</v>
      </c>
      <c r="J700" s="1"/>
      <c r="K700">
        <v>0</v>
      </c>
      <c r="L700">
        <v>0</v>
      </c>
      <c r="N700" s="21">
        <v>44415.628849618057</v>
      </c>
      <c r="O700" s="21">
        <v>44415.628849618057</v>
      </c>
      <c r="P700" s="21"/>
      <c r="Q700">
        <v>0</v>
      </c>
      <c r="T700">
        <v>60</v>
      </c>
    </row>
    <row r="701" spans="1:20" x14ac:dyDescent="0.25">
      <c r="A701">
        <v>701</v>
      </c>
      <c r="B701" s="1" t="s">
        <v>3078</v>
      </c>
      <c r="C701" s="1"/>
      <c r="D701" s="1" t="s">
        <v>3079</v>
      </c>
      <c r="E701" s="1"/>
      <c r="F701" s="1"/>
      <c r="G701" s="1"/>
      <c r="H701" s="1" t="s">
        <v>3080</v>
      </c>
      <c r="I701" s="1"/>
      <c r="J701" s="1"/>
      <c r="K701">
        <v>0</v>
      </c>
      <c r="L701">
        <v>0</v>
      </c>
      <c r="N701" s="21">
        <v>44415.628849618057</v>
      </c>
      <c r="O701" s="21">
        <v>44415.628849618057</v>
      </c>
      <c r="P701" s="21"/>
      <c r="Q701">
        <v>0</v>
      </c>
      <c r="T701">
        <v>60</v>
      </c>
    </row>
    <row r="702" spans="1:20" x14ac:dyDescent="0.25">
      <c r="A702">
        <v>702</v>
      </c>
      <c r="B702" s="1" t="s">
        <v>3081</v>
      </c>
      <c r="C702" s="1" t="s">
        <v>3082</v>
      </c>
      <c r="D702" s="1" t="s">
        <v>3083</v>
      </c>
      <c r="E702" s="1"/>
      <c r="F702" s="1" t="s">
        <v>3084</v>
      </c>
      <c r="G702" s="1" t="s">
        <v>713</v>
      </c>
      <c r="H702" s="1" t="s">
        <v>3085</v>
      </c>
      <c r="I702" s="1" t="s">
        <v>568</v>
      </c>
      <c r="J702" s="1" t="s">
        <v>641</v>
      </c>
      <c r="K702">
        <v>0</v>
      </c>
      <c r="L702">
        <v>1</v>
      </c>
      <c r="M702">
        <v>161</v>
      </c>
      <c r="N702" s="21">
        <v>44415.628849618057</v>
      </c>
      <c r="O702" s="21">
        <v>44415.628849618057</v>
      </c>
      <c r="P702" s="21"/>
      <c r="Q702">
        <v>0</v>
      </c>
      <c r="T702">
        <v>60</v>
      </c>
    </row>
    <row r="703" spans="1:20" x14ac:dyDescent="0.25">
      <c r="A703">
        <v>703</v>
      </c>
      <c r="B703" s="1" t="s">
        <v>3086</v>
      </c>
      <c r="C703" s="1"/>
      <c r="D703" s="1" t="s">
        <v>3087</v>
      </c>
      <c r="E703" s="1"/>
      <c r="F703" s="1"/>
      <c r="G703" s="1"/>
      <c r="H703" s="1" t="s">
        <v>3088</v>
      </c>
      <c r="I703" s="1"/>
      <c r="J703" s="1" t="s">
        <v>641</v>
      </c>
      <c r="K703">
        <v>0</v>
      </c>
      <c r="L703">
        <v>0</v>
      </c>
      <c r="N703" s="21">
        <v>44415.628849618057</v>
      </c>
      <c r="O703" s="21">
        <v>44415.628849618057</v>
      </c>
      <c r="P703" s="21"/>
      <c r="Q703">
        <v>0</v>
      </c>
      <c r="T703">
        <v>60</v>
      </c>
    </row>
    <row r="704" spans="1:20" x14ac:dyDescent="0.25">
      <c r="A704">
        <v>704</v>
      </c>
      <c r="B704" s="1" t="s">
        <v>3089</v>
      </c>
      <c r="C704" s="1"/>
      <c r="D704" s="1" t="s">
        <v>3090</v>
      </c>
      <c r="E704" s="1"/>
      <c r="F704" s="1"/>
      <c r="G704" s="1" t="s">
        <v>713</v>
      </c>
      <c r="H704" s="1" t="s">
        <v>3091</v>
      </c>
      <c r="I704" s="1"/>
      <c r="J704" s="1"/>
      <c r="K704">
        <v>0</v>
      </c>
      <c r="L704">
        <v>0</v>
      </c>
      <c r="N704" s="21">
        <v>44415.628849618057</v>
      </c>
      <c r="O704" s="21">
        <v>44415.628849618057</v>
      </c>
      <c r="P704" s="21"/>
      <c r="Q704">
        <v>0</v>
      </c>
      <c r="T704">
        <v>60</v>
      </c>
    </row>
    <row r="705" spans="1:20" x14ac:dyDescent="0.25">
      <c r="A705">
        <v>705</v>
      </c>
      <c r="B705" s="1" t="s">
        <v>3092</v>
      </c>
      <c r="C705" s="1"/>
      <c r="D705" s="1" t="s">
        <v>3093</v>
      </c>
      <c r="E705" s="1"/>
      <c r="F705" s="1"/>
      <c r="G705" s="1"/>
      <c r="H705" s="1" t="s">
        <v>3094</v>
      </c>
      <c r="I705" s="1"/>
      <c r="J705" s="1"/>
      <c r="K705">
        <v>0</v>
      </c>
      <c r="L705">
        <v>0</v>
      </c>
      <c r="N705" s="21">
        <v>44415.628849618057</v>
      </c>
      <c r="O705" s="21">
        <v>44415.628849618057</v>
      </c>
      <c r="P705" s="21"/>
      <c r="Q705">
        <v>0</v>
      </c>
      <c r="T705">
        <v>60</v>
      </c>
    </row>
    <row r="706" spans="1:20" x14ac:dyDescent="0.25">
      <c r="A706">
        <v>706</v>
      </c>
      <c r="B706" s="1" t="s">
        <v>3095</v>
      </c>
      <c r="C706" s="1"/>
      <c r="D706" s="1" t="s">
        <v>3096</v>
      </c>
      <c r="E706" s="1"/>
      <c r="F706" s="1" t="s">
        <v>3097</v>
      </c>
      <c r="G706" s="1" t="s">
        <v>644</v>
      </c>
      <c r="H706" s="1" t="s">
        <v>3098</v>
      </c>
      <c r="I706" s="1"/>
      <c r="J706" s="1"/>
      <c r="K706">
        <v>0</v>
      </c>
      <c r="L706">
        <v>0</v>
      </c>
      <c r="N706" s="21">
        <v>44415.628849618057</v>
      </c>
      <c r="O706" s="21">
        <v>44415.628849618057</v>
      </c>
      <c r="P706" s="21"/>
      <c r="Q706">
        <v>0</v>
      </c>
      <c r="T706">
        <v>60</v>
      </c>
    </row>
    <row r="707" spans="1:20" x14ac:dyDescent="0.25">
      <c r="A707">
        <v>707</v>
      </c>
      <c r="B707" s="1" t="s">
        <v>3099</v>
      </c>
      <c r="C707" s="1"/>
      <c r="D707" s="1" t="s">
        <v>3100</v>
      </c>
      <c r="E707" s="1"/>
      <c r="F707" s="1"/>
      <c r="G707" s="1"/>
      <c r="H707" s="1" t="s">
        <v>3101</v>
      </c>
      <c r="I707" s="1"/>
      <c r="J707" s="1"/>
      <c r="K707">
        <v>0</v>
      </c>
      <c r="L707">
        <v>0</v>
      </c>
      <c r="N707" s="21">
        <v>44415.628849618057</v>
      </c>
      <c r="O707" s="21">
        <v>44415.628849618057</v>
      </c>
      <c r="P707" s="21"/>
      <c r="Q707">
        <v>0</v>
      </c>
      <c r="T707">
        <v>60</v>
      </c>
    </row>
    <row r="708" spans="1:20" x14ac:dyDescent="0.25">
      <c r="A708">
        <v>708</v>
      </c>
      <c r="B708" s="1" t="s">
        <v>3102</v>
      </c>
      <c r="C708" s="1"/>
      <c r="D708" s="1" t="s">
        <v>3103</v>
      </c>
      <c r="E708" s="1"/>
      <c r="F708" s="1"/>
      <c r="G708" s="1"/>
      <c r="H708" s="1" t="s">
        <v>3104</v>
      </c>
      <c r="I708" s="1"/>
      <c r="J708" s="1"/>
      <c r="K708">
        <v>0</v>
      </c>
      <c r="L708">
        <v>0</v>
      </c>
      <c r="N708" s="21">
        <v>44415.628849618057</v>
      </c>
      <c r="O708" s="21">
        <v>44415.628849618057</v>
      </c>
      <c r="P708" s="21"/>
      <c r="Q708">
        <v>0</v>
      </c>
      <c r="T708">
        <v>60</v>
      </c>
    </row>
    <row r="709" spans="1:20" x14ac:dyDescent="0.25">
      <c r="A709">
        <v>709</v>
      </c>
      <c r="B709" s="1" t="s">
        <v>3105</v>
      </c>
      <c r="C709" s="1" t="s">
        <v>3106</v>
      </c>
      <c r="D709" s="1" t="s">
        <v>3107</v>
      </c>
      <c r="E709" s="1"/>
      <c r="F709" s="1"/>
      <c r="G709" s="1" t="s">
        <v>713</v>
      </c>
      <c r="H709" s="1" t="s">
        <v>3108</v>
      </c>
      <c r="I709" s="1"/>
      <c r="J709" s="1" t="s">
        <v>636</v>
      </c>
      <c r="K709">
        <v>1</v>
      </c>
      <c r="L709">
        <v>0</v>
      </c>
      <c r="N709" s="21">
        <v>44415.628849618057</v>
      </c>
      <c r="O709" s="21">
        <v>44415.628849618057</v>
      </c>
      <c r="P709" s="21"/>
      <c r="Q709">
        <v>0</v>
      </c>
      <c r="T709">
        <v>60</v>
      </c>
    </row>
    <row r="710" spans="1:20" x14ac:dyDescent="0.25">
      <c r="A710">
        <v>710</v>
      </c>
      <c r="B710" s="1" t="s">
        <v>3109</v>
      </c>
      <c r="C710" s="1" t="s">
        <v>3110</v>
      </c>
      <c r="D710" s="1" t="s">
        <v>3111</v>
      </c>
      <c r="E710" s="1"/>
      <c r="F710" s="1"/>
      <c r="G710" s="1" t="s">
        <v>713</v>
      </c>
      <c r="H710" s="1" t="s">
        <v>3112</v>
      </c>
      <c r="I710" s="1"/>
      <c r="J710" s="1" t="s">
        <v>641</v>
      </c>
      <c r="K710">
        <v>1</v>
      </c>
      <c r="L710">
        <v>0</v>
      </c>
      <c r="N710" s="21">
        <v>44415.628849618057</v>
      </c>
      <c r="O710" s="21">
        <v>44415.628849618057</v>
      </c>
      <c r="P710" s="21"/>
      <c r="Q710">
        <v>0</v>
      </c>
      <c r="T710">
        <v>60</v>
      </c>
    </row>
    <row r="711" spans="1:20" x14ac:dyDescent="0.25">
      <c r="A711">
        <v>711</v>
      </c>
      <c r="B711" s="1" t="s">
        <v>3113</v>
      </c>
      <c r="C711" s="1" t="s">
        <v>3114</v>
      </c>
      <c r="D711" s="1" t="s">
        <v>3115</v>
      </c>
      <c r="E711" s="1"/>
      <c r="F711" s="1"/>
      <c r="G711" s="1" t="s">
        <v>713</v>
      </c>
      <c r="H711" s="1" t="s">
        <v>3116</v>
      </c>
      <c r="I711" s="1"/>
      <c r="J711" s="1" t="s">
        <v>636</v>
      </c>
      <c r="K711">
        <v>1</v>
      </c>
      <c r="L711">
        <v>0</v>
      </c>
      <c r="N711" s="21">
        <v>44415.628849618057</v>
      </c>
      <c r="O711" s="21">
        <v>44415.628849618057</v>
      </c>
      <c r="P711" s="21"/>
      <c r="Q711">
        <v>0</v>
      </c>
      <c r="T711">
        <v>60</v>
      </c>
    </row>
    <row r="712" spans="1:20" x14ac:dyDescent="0.25">
      <c r="A712">
        <v>712</v>
      </c>
      <c r="B712" s="1" t="s">
        <v>3117</v>
      </c>
      <c r="C712" s="1"/>
      <c r="D712" s="1" t="s">
        <v>3118</v>
      </c>
      <c r="E712" s="1"/>
      <c r="F712" s="1"/>
      <c r="G712" s="1"/>
      <c r="H712" s="1" t="s">
        <v>3119</v>
      </c>
      <c r="I712" s="1"/>
      <c r="J712" s="1"/>
      <c r="K712">
        <v>0</v>
      </c>
      <c r="L712">
        <v>0</v>
      </c>
      <c r="N712" s="21">
        <v>44415.628849618057</v>
      </c>
      <c r="O712" s="21">
        <v>44415.628849618057</v>
      </c>
      <c r="P712" s="21"/>
      <c r="Q712">
        <v>0</v>
      </c>
      <c r="T712">
        <v>60</v>
      </c>
    </row>
    <row r="713" spans="1:20" x14ac:dyDescent="0.25">
      <c r="A713">
        <v>713</v>
      </c>
      <c r="B713" s="1" t="s">
        <v>3120</v>
      </c>
      <c r="C713" s="1" t="s">
        <v>3121</v>
      </c>
      <c r="D713" s="1" t="s">
        <v>3122</v>
      </c>
      <c r="E713" s="1"/>
      <c r="F713" s="1"/>
      <c r="G713" s="1" t="s">
        <v>713</v>
      </c>
      <c r="H713" s="1" t="s">
        <v>3123</v>
      </c>
      <c r="I713" s="1"/>
      <c r="J713" s="1" t="s">
        <v>636</v>
      </c>
      <c r="K713">
        <v>1</v>
      </c>
      <c r="L713">
        <v>0</v>
      </c>
      <c r="N713" s="21">
        <v>44415.628849618057</v>
      </c>
      <c r="O713" s="21">
        <v>44415.628849618057</v>
      </c>
      <c r="P713" s="21"/>
      <c r="Q713">
        <v>0</v>
      </c>
      <c r="T713">
        <v>60</v>
      </c>
    </row>
    <row r="714" spans="1:20" x14ac:dyDescent="0.25">
      <c r="A714">
        <v>714</v>
      </c>
      <c r="B714" s="1" t="s">
        <v>3124</v>
      </c>
      <c r="C714" s="1"/>
      <c r="D714" s="1" t="s">
        <v>3125</v>
      </c>
      <c r="E714" s="1"/>
      <c r="F714" s="1"/>
      <c r="G714" s="1" t="s">
        <v>713</v>
      </c>
      <c r="H714" s="1" t="s">
        <v>3126</v>
      </c>
      <c r="I714" s="1"/>
      <c r="J714" s="1"/>
      <c r="K714">
        <v>0</v>
      </c>
      <c r="L714">
        <v>0</v>
      </c>
      <c r="N714" s="21">
        <v>44415.628849618057</v>
      </c>
      <c r="O714" s="21">
        <v>44415.628849618057</v>
      </c>
      <c r="P714" s="21"/>
      <c r="Q714">
        <v>0</v>
      </c>
      <c r="T714">
        <v>60</v>
      </c>
    </row>
    <row r="715" spans="1:20" x14ac:dyDescent="0.25">
      <c r="A715">
        <v>715</v>
      </c>
      <c r="B715" s="1" t="s">
        <v>3127</v>
      </c>
      <c r="C715" s="1"/>
      <c r="D715" s="1" t="s">
        <v>3128</v>
      </c>
      <c r="E715" s="1"/>
      <c r="F715" s="1"/>
      <c r="G715" s="1"/>
      <c r="H715" s="1" t="s">
        <v>3129</v>
      </c>
      <c r="I715" s="1"/>
      <c r="J715" s="1"/>
      <c r="K715">
        <v>0</v>
      </c>
      <c r="L715">
        <v>0</v>
      </c>
      <c r="N715" s="21">
        <v>44415.628849618057</v>
      </c>
      <c r="O715" s="21">
        <v>44415.628849618057</v>
      </c>
      <c r="P715" s="21"/>
      <c r="Q715">
        <v>0</v>
      </c>
      <c r="T715">
        <v>60</v>
      </c>
    </row>
    <row r="716" spans="1:20" x14ac:dyDescent="0.25">
      <c r="A716">
        <v>716</v>
      </c>
      <c r="B716" s="1" t="s">
        <v>3130</v>
      </c>
      <c r="C716" s="1" t="s">
        <v>3131</v>
      </c>
      <c r="D716" s="1" t="s">
        <v>3132</v>
      </c>
      <c r="E716" s="1"/>
      <c r="F716" s="1" t="s">
        <v>3133</v>
      </c>
      <c r="G716" s="1" t="s">
        <v>644</v>
      </c>
      <c r="H716" s="1" t="s">
        <v>3134</v>
      </c>
      <c r="I716" s="1" t="s">
        <v>568</v>
      </c>
      <c r="J716" s="1" t="s">
        <v>641</v>
      </c>
      <c r="K716">
        <v>0</v>
      </c>
      <c r="L716">
        <v>1</v>
      </c>
      <c r="M716">
        <v>4755</v>
      </c>
      <c r="N716" s="21">
        <v>44415.628849618057</v>
      </c>
      <c r="O716" s="21">
        <v>44415.628849618057</v>
      </c>
      <c r="P716" s="21"/>
      <c r="Q716">
        <v>0</v>
      </c>
      <c r="T716">
        <v>60</v>
      </c>
    </row>
    <row r="717" spans="1:20" x14ac:dyDescent="0.25">
      <c r="A717">
        <v>717</v>
      </c>
      <c r="B717" s="1" t="s">
        <v>3135</v>
      </c>
      <c r="C717" s="1"/>
      <c r="D717" s="1" t="s">
        <v>3136</v>
      </c>
      <c r="E717" s="1"/>
      <c r="F717" s="1"/>
      <c r="G717" s="1"/>
      <c r="H717" s="1" t="s">
        <v>3137</v>
      </c>
      <c r="I717" s="1"/>
      <c r="J717" s="1"/>
      <c r="K717">
        <v>0</v>
      </c>
      <c r="L717">
        <v>0</v>
      </c>
      <c r="N717" s="21">
        <v>44415.628849618057</v>
      </c>
      <c r="O717" s="21">
        <v>44415.628849618057</v>
      </c>
      <c r="P717" s="21"/>
      <c r="Q717">
        <v>0</v>
      </c>
      <c r="T717">
        <v>60</v>
      </c>
    </row>
    <row r="718" spans="1:20" x14ac:dyDescent="0.25">
      <c r="A718">
        <v>718</v>
      </c>
      <c r="B718" s="1" t="s">
        <v>3138</v>
      </c>
      <c r="C718" s="1"/>
      <c r="D718" s="1" t="s">
        <v>3139</v>
      </c>
      <c r="E718" s="1"/>
      <c r="F718" s="1" t="s">
        <v>3140</v>
      </c>
      <c r="G718" s="1" t="s">
        <v>713</v>
      </c>
      <c r="H718" s="1" t="s">
        <v>3141</v>
      </c>
      <c r="I718" s="1"/>
      <c r="J718" s="1" t="s">
        <v>641</v>
      </c>
      <c r="K718">
        <v>0</v>
      </c>
      <c r="L718">
        <v>0</v>
      </c>
      <c r="N718" s="21">
        <v>44415.628849618057</v>
      </c>
      <c r="O718" s="21">
        <v>44415.628849618057</v>
      </c>
      <c r="P718" s="21"/>
      <c r="Q718">
        <v>0</v>
      </c>
      <c r="T718">
        <v>60</v>
      </c>
    </row>
    <row r="719" spans="1:20" x14ac:dyDescent="0.25">
      <c r="A719">
        <v>719</v>
      </c>
      <c r="B719" s="1" t="s">
        <v>3142</v>
      </c>
      <c r="C719" s="1"/>
      <c r="D719" s="1" t="s">
        <v>3143</v>
      </c>
      <c r="E719" s="1" t="s">
        <v>3142</v>
      </c>
      <c r="F719" s="1"/>
      <c r="G719" s="1" t="s">
        <v>713</v>
      </c>
      <c r="H719" s="1" t="s">
        <v>3144</v>
      </c>
      <c r="I719" s="1"/>
      <c r="J719" s="1"/>
      <c r="K719">
        <v>0</v>
      </c>
      <c r="L719">
        <v>0</v>
      </c>
      <c r="N719" s="21">
        <v>44415.628849618057</v>
      </c>
      <c r="O719" s="21">
        <v>44415.628849618057</v>
      </c>
      <c r="P719" s="21"/>
      <c r="Q719">
        <v>0</v>
      </c>
      <c r="T719">
        <v>60</v>
      </c>
    </row>
    <row r="720" spans="1:20" x14ac:dyDescent="0.25">
      <c r="A720">
        <v>720</v>
      </c>
      <c r="B720" s="1" t="s">
        <v>3145</v>
      </c>
      <c r="C720" s="1"/>
      <c r="D720" s="1" t="s">
        <v>3146</v>
      </c>
      <c r="E720" s="1"/>
      <c r="F720" s="1" t="s">
        <v>3147</v>
      </c>
      <c r="G720" s="1" t="s">
        <v>713</v>
      </c>
      <c r="H720" s="1" t="s">
        <v>3148</v>
      </c>
      <c r="I720" s="1"/>
      <c r="J720" s="1"/>
      <c r="K720">
        <v>0</v>
      </c>
      <c r="L720">
        <v>0</v>
      </c>
      <c r="N720" s="21">
        <v>44415.628849618057</v>
      </c>
      <c r="O720" s="21">
        <v>44415.628849618057</v>
      </c>
      <c r="P720" s="21"/>
      <c r="Q720">
        <v>0</v>
      </c>
      <c r="T720">
        <v>60</v>
      </c>
    </row>
    <row r="721" spans="1:20" x14ac:dyDescent="0.25">
      <c r="A721">
        <v>721</v>
      </c>
      <c r="B721" s="1" t="s">
        <v>3149</v>
      </c>
      <c r="C721" s="1" t="s">
        <v>3150</v>
      </c>
      <c r="D721" s="1" t="s">
        <v>3151</v>
      </c>
      <c r="E721" s="1"/>
      <c r="F721" s="1"/>
      <c r="G721" s="1" t="s">
        <v>713</v>
      </c>
      <c r="H721" s="1" t="s">
        <v>3152</v>
      </c>
      <c r="I721" s="1"/>
      <c r="J721" s="1" t="s">
        <v>641</v>
      </c>
      <c r="K721">
        <v>1</v>
      </c>
      <c r="L721">
        <v>0</v>
      </c>
      <c r="N721" s="21">
        <v>44415.628849618057</v>
      </c>
      <c r="O721" s="21">
        <v>44415.628849618057</v>
      </c>
      <c r="P721" s="21"/>
      <c r="Q721">
        <v>0</v>
      </c>
      <c r="T721">
        <v>60</v>
      </c>
    </row>
    <row r="722" spans="1:20" x14ac:dyDescent="0.25">
      <c r="A722">
        <v>722</v>
      </c>
      <c r="B722" s="1" t="s">
        <v>3153</v>
      </c>
      <c r="C722" s="1" t="s">
        <v>3154</v>
      </c>
      <c r="D722" s="1" t="s">
        <v>3155</v>
      </c>
      <c r="E722" s="1"/>
      <c r="F722" s="1"/>
      <c r="G722" s="1" t="s">
        <v>713</v>
      </c>
      <c r="H722" s="1" t="s">
        <v>3156</v>
      </c>
      <c r="I722" s="1"/>
      <c r="J722" s="1" t="s">
        <v>636</v>
      </c>
      <c r="K722">
        <v>1</v>
      </c>
      <c r="L722">
        <v>0</v>
      </c>
      <c r="N722" s="21">
        <v>44415.628849618057</v>
      </c>
      <c r="O722" s="21">
        <v>44415.628849618057</v>
      </c>
      <c r="P722" s="21"/>
      <c r="Q722">
        <v>0</v>
      </c>
      <c r="T722">
        <v>60</v>
      </c>
    </row>
    <row r="723" spans="1:20" x14ac:dyDescent="0.25">
      <c r="A723">
        <v>723</v>
      </c>
      <c r="B723" s="1" t="s">
        <v>3157</v>
      </c>
      <c r="C723" s="1"/>
      <c r="D723" s="1" t="s">
        <v>3158</v>
      </c>
      <c r="E723" s="1"/>
      <c r="F723" s="1"/>
      <c r="G723" s="1"/>
      <c r="H723" s="1" t="s">
        <v>3159</v>
      </c>
      <c r="I723" s="1"/>
      <c r="J723" s="1"/>
      <c r="K723">
        <v>0</v>
      </c>
      <c r="L723">
        <v>0</v>
      </c>
      <c r="N723" s="21">
        <v>44415.628849618057</v>
      </c>
      <c r="O723" s="21">
        <v>44415.628849618057</v>
      </c>
      <c r="P723" s="21"/>
      <c r="Q723">
        <v>0</v>
      </c>
      <c r="T723">
        <v>60</v>
      </c>
    </row>
    <row r="724" spans="1:20" x14ac:dyDescent="0.25">
      <c r="A724">
        <v>724</v>
      </c>
      <c r="B724" s="1" t="s">
        <v>3160</v>
      </c>
      <c r="C724" s="1" t="s">
        <v>3161</v>
      </c>
      <c r="D724" s="1" t="s">
        <v>3162</v>
      </c>
      <c r="E724" s="1"/>
      <c r="F724" s="1"/>
      <c r="G724" s="1" t="s">
        <v>713</v>
      </c>
      <c r="H724" s="1" t="s">
        <v>3163</v>
      </c>
      <c r="I724" s="1"/>
      <c r="J724" s="1" t="s">
        <v>867</v>
      </c>
      <c r="K724">
        <v>1</v>
      </c>
      <c r="L724">
        <v>0</v>
      </c>
      <c r="N724" s="21">
        <v>44415.628849618057</v>
      </c>
      <c r="O724" s="21">
        <v>44415.628849618057</v>
      </c>
      <c r="P724" s="21"/>
      <c r="Q724">
        <v>0</v>
      </c>
      <c r="T724">
        <v>60</v>
      </c>
    </row>
    <row r="725" spans="1:20" x14ac:dyDescent="0.25">
      <c r="A725">
        <v>725</v>
      </c>
      <c r="B725" s="1" t="s">
        <v>3164</v>
      </c>
      <c r="C725" s="1"/>
      <c r="D725" s="1" t="s">
        <v>3165</v>
      </c>
      <c r="E725" s="1"/>
      <c r="F725" s="1"/>
      <c r="G725" s="1" t="s">
        <v>713</v>
      </c>
      <c r="H725" s="1" t="s">
        <v>3166</v>
      </c>
      <c r="I725" s="1"/>
      <c r="J725" s="1"/>
      <c r="K725">
        <v>0</v>
      </c>
      <c r="L725">
        <v>0</v>
      </c>
      <c r="N725" s="21">
        <v>44415.628849618057</v>
      </c>
      <c r="O725" s="21">
        <v>44415.628849618057</v>
      </c>
      <c r="P725" s="21"/>
      <c r="Q725">
        <v>0</v>
      </c>
      <c r="T725">
        <v>60</v>
      </c>
    </row>
    <row r="726" spans="1:20" x14ac:dyDescent="0.25">
      <c r="A726">
        <v>726</v>
      </c>
      <c r="B726" s="1" t="s">
        <v>3167</v>
      </c>
      <c r="C726" s="1"/>
      <c r="D726" s="1" t="s">
        <v>3168</v>
      </c>
      <c r="E726" s="1"/>
      <c r="F726" s="1"/>
      <c r="G726" s="1" t="s">
        <v>713</v>
      </c>
      <c r="H726" s="1" t="s">
        <v>3169</v>
      </c>
      <c r="I726" s="1"/>
      <c r="J726" s="1" t="s">
        <v>636</v>
      </c>
      <c r="K726">
        <v>0</v>
      </c>
      <c r="L726">
        <v>0</v>
      </c>
      <c r="N726" s="21">
        <v>44415.628849618057</v>
      </c>
      <c r="O726" s="21">
        <v>44415.628849618057</v>
      </c>
      <c r="P726" s="21"/>
      <c r="Q726">
        <v>0</v>
      </c>
      <c r="T726">
        <v>60</v>
      </c>
    </row>
    <row r="727" spans="1:20" x14ac:dyDescent="0.25">
      <c r="A727">
        <v>727</v>
      </c>
      <c r="B727" s="1" t="s">
        <v>3170</v>
      </c>
      <c r="C727" s="1"/>
      <c r="D727" s="1" t="s">
        <v>3171</v>
      </c>
      <c r="E727" s="1"/>
      <c r="F727" s="1"/>
      <c r="G727" s="1" t="s">
        <v>713</v>
      </c>
      <c r="H727" s="1" t="s">
        <v>3172</v>
      </c>
      <c r="I727" s="1"/>
      <c r="J727" s="1"/>
      <c r="K727">
        <v>0</v>
      </c>
      <c r="L727">
        <v>0</v>
      </c>
      <c r="N727" s="21">
        <v>44415.628849618057</v>
      </c>
      <c r="O727" s="21">
        <v>44415.628849618057</v>
      </c>
      <c r="P727" s="21"/>
      <c r="Q727">
        <v>0</v>
      </c>
      <c r="T727">
        <v>60</v>
      </c>
    </row>
    <row r="728" spans="1:20" x14ac:dyDescent="0.25">
      <c r="A728">
        <v>728</v>
      </c>
      <c r="B728" s="1" t="s">
        <v>3173</v>
      </c>
      <c r="C728" s="1"/>
      <c r="D728" s="1" t="s">
        <v>3174</v>
      </c>
      <c r="E728" s="1"/>
      <c r="F728" s="1"/>
      <c r="G728" s="1" t="s">
        <v>713</v>
      </c>
      <c r="H728" s="1" t="s">
        <v>3175</v>
      </c>
      <c r="I728" s="1"/>
      <c r="J728" s="1" t="s">
        <v>636</v>
      </c>
      <c r="K728">
        <v>0</v>
      </c>
      <c r="L728">
        <v>0</v>
      </c>
      <c r="N728" s="21">
        <v>44415.628849618057</v>
      </c>
      <c r="O728" s="21">
        <v>44415.628849618057</v>
      </c>
      <c r="P728" s="21"/>
      <c r="Q728">
        <v>0</v>
      </c>
      <c r="T728">
        <v>60</v>
      </c>
    </row>
    <row r="729" spans="1:20" x14ac:dyDescent="0.25">
      <c r="A729">
        <v>729</v>
      </c>
      <c r="B729" s="1" t="s">
        <v>3176</v>
      </c>
      <c r="C729" s="1"/>
      <c r="D729" s="1" t="s">
        <v>3177</v>
      </c>
      <c r="E729" s="1"/>
      <c r="F729" s="1"/>
      <c r="G729" s="1" t="s">
        <v>713</v>
      </c>
      <c r="H729" s="1" t="s">
        <v>3178</v>
      </c>
      <c r="I729" s="1"/>
      <c r="J729" s="1"/>
      <c r="K729">
        <v>0</v>
      </c>
      <c r="L729">
        <v>0</v>
      </c>
      <c r="N729" s="21">
        <v>44415.628849618057</v>
      </c>
      <c r="O729" s="21">
        <v>44415.628849618057</v>
      </c>
      <c r="P729" s="21"/>
      <c r="Q729">
        <v>0</v>
      </c>
      <c r="T729">
        <v>60</v>
      </c>
    </row>
    <row r="730" spans="1:20" x14ac:dyDescent="0.25">
      <c r="A730">
        <v>730</v>
      </c>
      <c r="B730" s="1" t="s">
        <v>3179</v>
      </c>
      <c r="C730" s="1"/>
      <c r="D730" s="1" t="s">
        <v>3180</v>
      </c>
      <c r="E730" s="1"/>
      <c r="F730" s="1"/>
      <c r="G730" s="1"/>
      <c r="H730" s="1" t="s">
        <v>3181</v>
      </c>
      <c r="I730" s="1"/>
      <c r="J730" s="1" t="s">
        <v>1751</v>
      </c>
      <c r="K730">
        <v>0</v>
      </c>
      <c r="L730">
        <v>0</v>
      </c>
      <c r="N730" s="21">
        <v>44415.628849618057</v>
      </c>
      <c r="O730" s="21">
        <v>44415.628849618057</v>
      </c>
      <c r="P730" s="21"/>
      <c r="Q730">
        <v>0</v>
      </c>
      <c r="T730">
        <v>60</v>
      </c>
    </row>
    <row r="731" spans="1:20" x14ac:dyDescent="0.25">
      <c r="A731">
        <v>731</v>
      </c>
      <c r="B731" s="1" t="s">
        <v>3179</v>
      </c>
      <c r="C731" s="1"/>
      <c r="D731" s="1" t="s">
        <v>3182</v>
      </c>
      <c r="E731" s="1"/>
      <c r="F731" s="1"/>
      <c r="G731" s="1"/>
      <c r="H731" s="1" t="s">
        <v>3183</v>
      </c>
      <c r="I731" s="1"/>
      <c r="J731" s="1"/>
      <c r="K731">
        <v>0</v>
      </c>
      <c r="L731">
        <v>0</v>
      </c>
      <c r="N731" s="21">
        <v>44415.628849618057</v>
      </c>
      <c r="O731" s="21">
        <v>44415.628849618057</v>
      </c>
      <c r="P731" s="21"/>
      <c r="Q731">
        <v>0</v>
      </c>
      <c r="T731">
        <v>60</v>
      </c>
    </row>
    <row r="732" spans="1:20" x14ac:dyDescent="0.25">
      <c r="A732">
        <v>732</v>
      </c>
      <c r="B732" s="1" t="s">
        <v>3184</v>
      </c>
      <c r="C732" s="1"/>
      <c r="D732" s="1" t="s">
        <v>3185</v>
      </c>
      <c r="E732" s="1"/>
      <c r="F732" s="1"/>
      <c r="G732" s="1"/>
      <c r="H732" s="1" t="s">
        <v>3186</v>
      </c>
      <c r="I732" s="1"/>
      <c r="J732" s="1"/>
      <c r="K732">
        <v>0</v>
      </c>
      <c r="L732">
        <v>0</v>
      </c>
      <c r="N732" s="21">
        <v>44415.628849618057</v>
      </c>
      <c r="O732" s="21">
        <v>44415.628849618057</v>
      </c>
      <c r="P732" s="21"/>
      <c r="Q732">
        <v>0</v>
      </c>
      <c r="T732">
        <v>60</v>
      </c>
    </row>
    <row r="733" spans="1:20" x14ac:dyDescent="0.25">
      <c r="A733">
        <v>733</v>
      </c>
      <c r="B733" s="1" t="s">
        <v>3187</v>
      </c>
      <c r="C733" s="1" t="s">
        <v>3188</v>
      </c>
      <c r="D733" s="1" t="s">
        <v>3189</v>
      </c>
      <c r="E733" s="1" t="s">
        <v>3187</v>
      </c>
      <c r="F733" s="1"/>
      <c r="G733" s="1" t="s">
        <v>713</v>
      </c>
      <c r="H733" s="1" t="s">
        <v>3190</v>
      </c>
      <c r="I733" s="1"/>
      <c r="J733" s="1" t="s">
        <v>641</v>
      </c>
      <c r="K733">
        <v>1</v>
      </c>
      <c r="L733">
        <v>0</v>
      </c>
      <c r="N733" s="21">
        <v>44415.628849618057</v>
      </c>
      <c r="O733" s="21">
        <v>44415.628849618057</v>
      </c>
      <c r="P733" s="21"/>
      <c r="Q733">
        <v>0</v>
      </c>
      <c r="T733">
        <v>60</v>
      </c>
    </row>
    <row r="734" spans="1:20" x14ac:dyDescent="0.25">
      <c r="A734">
        <v>734</v>
      </c>
      <c r="B734" s="1" t="s">
        <v>3191</v>
      </c>
      <c r="C734" s="1"/>
      <c r="D734" s="1" t="s">
        <v>3192</v>
      </c>
      <c r="E734" s="1"/>
      <c r="F734" s="1"/>
      <c r="G734" s="1" t="s">
        <v>713</v>
      </c>
      <c r="H734" s="1" t="s">
        <v>3193</v>
      </c>
      <c r="I734" s="1"/>
      <c r="J734" s="1" t="s">
        <v>641</v>
      </c>
      <c r="K734">
        <v>0</v>
      </c>
      <c r="L734">
        <v>0</v>
      </c>
      <c r="N734" s="21">
        <v>44415.628849618057</v>
      </c>
      <c r="O734" s="21">
        <v>44415.628849618057</v>
      </c>
      <c r="P734" s="21"/>
      <c r="Q734">
        <v>0</v>
      </c>
      <c r="T734">
        <v>60</v>
      </c>
    </row>
    <row r="735" spans="1:20" x14ac:dyDescent="0.25">
      <c r="A735">
        <v>735</v>
      </c>
      <c r="B735" s="1" t="s">
        <v>3194</v>
      </c>
      <c r="C735" s="1" t="s">
        <v>3195</v>
      </c>
      <c r="D735" s="1" t="s">
        <v>3196</v>
      </c>
      <c r="E735" s="1"/>
      <c r="F735" s="1"/>
      <c r="G735" s="1" t="s">
        <v>634</v>
      </c>
      <c r="H735" s="1" t="s">
        <v>3197</v>
      </c>
      <c r="I735" s="1" t="s">
        <v>995</v>
      </c>
      <c r="J735" s="1" t="s">
        <v>641</v>
      </c>
      <c r="K735">
        <v>0</v>
      </c>
      <c r="L735">
        <v>1</v>
      </c>
      <c r="M735">
        <v>124</v>
      </c>
      <c r="N735" s="21">
        <v>44415.628849618057</v>
      </c>
      <c r="O735" s="21">
        <v>44415.628849618057</v>
      </c>
      <c r="P735" s="21"/>
      <c r="Q735">
        <v>0</v>
      </c>
      <c r="T735">
        <v>60</v>
      </c>
    </row>
    <row r="736" spans="1:20" x14ac:dyDescent="0.25">
      <c r="A736">
        <v>736</v>
      </c>
      <c r="B736" s="1" t="s">
        <v>3198</v>
      </c>
      <c r="C736" s="1"/>
      <c r="D736" s="1" t="s">
        <v>3199</v>
      </c>
      <c r="E736" s="1"/>
      <c r="F736" s="1" t="s">
        <v>3200</v>
      </c>
      <c r="G736" s="1"/>
      <c r="H736" s="1" t="s">
        <v>3201</v>
      </c>
      <c r="I736" s="1"/>
      <c r="J736" s="1"/>
      <c r="K736">
        <v>0</v>
      </c>
      <c r="L736">
        <v>0</v>
      </c>
      <c r="N736" s="21">
        <v>44415.628849618057</v>
      </c>
      <c r="O736" s="21">
        <v>44415.628849618057</v>
      </c>
      <c r="P736" s="21"/>
      <c r="Q736">
        <v>0</v>
      </c>
      <c r="T736">
        <v>60</v>
      </c>
    </row>
    <row r="737" spans="1:20" x14ac:dyDescent="0.25">
      <c r="A737">
        <v>737</v>
      </c>
      <c r="B737" s="1" t="s">
        <v>3202</v>
      </c>
      <c r="C737" s="1" t="s">
        <v>3203</v>
      </c>
      <c r="D737" s="1" t="s">
        <v>3204</v>
      </c>
      <c r="E737" s="1"/>
      <c r="F737" s="1"/>
      <c r="G737" s="1" t="s">
        <v>634</v>
      </c>
      <c r="H737" s="1" t="s">
        <v>3205</v>
      </c>
      <c r="I737" s="1" t="s">
        <v>568</v>
      </c>
      <c r="J737" s="1" t="s">
        <v>636</v>
      </c>
      <c r="K737">
        <v>0</v>
      </c>
      <c r="L737">
        <v>1</v>
      </c>
      <c r="M737">
        <v>93</v>
      </c>
      <c r="N737" s="21">
        <v>44415.628849618057</v>
      </c>
      <c r="O737" s="21">
        <v>44415.628849618057</v>
      </c>
      <c r="P737" s="21"/>
      <c r="Q737">
        <v>0</v>
      </c>
      <c r="T737">
        <v>60</v>
      </c>
    </row>
    <row r="738" spans="1:20" x14ac:dyDescent="0.25">
      <c r="A738">
        <v>738</v>
      </c>
      <c r="B738" s="1" t="s">
        <v>3206</v>
      </c>
      <c r="C738" s="1"/>
      <c r="D738" s="1" t="s">
        <v>3207</v>
      </c>
      <c r="E738" s="1"/>
      <c r="F738" s="1"/>
      <c r="G738" s="1"/>
      <c r="H738" s="1" t="s">
        <v>3208</v>
      </c>
      <c r="I738" s="1"/>
      <c r="J738" s="1"/>
      <c r="K738">
        <v>0</v>
      </c>
      <c r="L738">
        <v>0</v>
      </c>
      <c r="N738" s="21">
        <v>44415.628849618057</v>
      </c>
      <c r="O738" s="21">
        <v>44415.628849618057</v>
      </c>
      <c r="P738" s="21"/>
      <c r="Q738">
        <v>0</v>
      </c>
      <c r="T738">
        <v>60</v>
      </c>
    </row>
    <row r="739" spans="1:20" x14ac:dyDescent="0.25">
      <c r="A739">
        <v>739</v>
      </c>
      <c r="B739" s="1" t="s">
        <v>3209</v>
      </c>
      <c r="C739" s="1"/>
      <c r="D739" s="1" t="s">
        <v>3210</v>
      </c>
      <c r="E739" s="1"/>
      <c r="F739" s="1"/>
      <c r="G739" s="1" t="s">
        <v>713</v>
      </c>
      <c r="H739" s="1" t="s">
        <v>3211</v>
      </c>
      <c r="I739" s="1"/>
      <c r="J739" s="1" t="s">
        <v>636</v>
      </c>
      <c r="K739">
        <v>0</v>
      </c>
      <c r="L739">
        <v>1</v>
      </c>
      <c r="N739" s="21">
        <v>44415.628849618057</v>
      </c>
      <c r="O739" s="21">
        <v>44415.628849618057</v>
      </c>
      <c r="P739" s="21"/>
      <c r="Q739">
        <v>0</v>
      </c>
      <c r="T739">
        <v>60</v>
      </c>
    </row>
    <row r="740" spans="1:20" x14ac:dyDescent="0.25">
      <c r="A740">
        <v>740</v>
      </c>
      <c r="B740" s="1" t="s">
        <v>3212</v>
      </c>
      <c r="C740" s="1"/>
      <c r="D740" s="1" t="s">
        <v>3213</v>
      </c>
      <c r="E740" s="1"/>
      <c r="F740" s="1"/>
      <c r="G740" s="1" t="s">
        <v>713</v>
      </c>
      <c r="H740" s="1" t="s">
        <v>3214</v>
      </c>
      <c r="I740" s="1"/>
      <c r="J740" s="1"/>
      <c r="K740">
        <v>0</v>
      </c>
      <c r="L740">
        <v>0</v>
      </c>
      <c r="N740" s="21">
        <v>44415.628849618057</v>
      </c>
      <c r="O740" s="21">
        <v>44415.628849618057</v>
      </c>
      <c r="P740" s="21"/>
      <c r="Q740">
        <v>0</v>
      </c>
      <c r="T740">
        <v>60</v>
      </c>
    </row>
    <row r="741" spans="1:20" x14ac:dyDescent="0.25">
      <c r="A741">
        <v>741</v>
      </c>
      <c r="B741" s="1" t="s">
        <v>3215</v>
      </c>
      <c r="C741" s="1"/>
      <c r="D741" s="1" t="s">
        <v>3216</v>
      </c>
      <c r="E741" s="1"/>
      <c r="F741" s="1"/>
      <c r="G741" s="1" t="s">
        <v>713</v>
      </c>
      <c r="H741" s="1" t="s">
        <v>3217</v>
      </c>
      <c r="I741" s="1"/>
      <c r="J741" s="1" t="s">
        <v>641</v>
      </c>
      <c r="K741">
        <v>0</v>
      </c>
      <c r="L741">
        <v>0</v>
      </c>
      <c r="N741" s="21">
        <v>44415.628849618057</v>
      </c>
      <c r="O741" s="21">
        <v>44415.628849618057</v>
      </c>
      <c r="P741" s="21"/>
      <c r="Q741">
        <v>0</v>
      </c>
      <c r="T741">
        <v>60</v>
      </c>
    </row>
    <row r="742" spans="1:20" x14ac:dyDescent="0.25">
      <c r="A742">
        <v>742</v>
      </c>
      <c r="B742" s="1" t="s">
        <v>3218</v>
      </c>
      <c r="C742" s="1" t="s">
        <v>3219</v>
      </c>
      <c r="D742" s="1" t="s">
        <v>3220</v>
      </c>
      <c r="E742" s="1"/>
      <c r="F742" s="1"/>
      <c r="G742" s="1" t="s">
        <v>644</v>
      </c>
      <c r="H742" s="1" t="s">
        <v>3221</v>
      </c>
      <c r="I742" s="1" t="s">
        <v>568</v>
      </c>
      <c r="J742" s="1" t="s">
        <v>636</v>
      </c>
      <c r="K742">
        <v>0</v>
      </c>
      <c r="L742">
        <v>1</v>
      </c>
      <c r="M742">
        <v>148</v>
      </c>
      <c r="N742" s="21">
        <v>44415.628849618057</v>
      </c>
      <c r="O742" s="21">
        <v>44415.628849618057</v>
      </c>
      <c r="P742" s="21"/>
      <c r="Q742">
        <v>0</v>
      </c>
      <c r="T742">
        <v>60</v>
      </c>
    </row>
    <row r="743" spans="1:20" x14ac:dyDescent="0.25">
      <c r="A743">
        <v>743</v>
      </c>
      <c r="B743" s="1" t="s">
        <v>3222</v>
      </c>
      <c r="C743" s="1"/>
      <c r="D743" s="1" t="s">
        <v>3223</v>
      </c>
      <c r="E743" s="1"/>
      <c r="F743" s="1"/>
      <c r="G743" s="1" t="s">
        <v>634</v>
      </c>
      <c r="H743" s="1" t="s">
        <v>3224</v>
      </c>
      <c r="I743" s="1"/>
      <c r="J743" s="1"/>
      <c r="K743">
        <v>0</v>
      </c>
      <c r="L743">
        <v>0</v>
      </c>
      <c r="N743" s="21">
        <v>44415.628849618057</v>
      </c>
      <c r="O743" s="21">
        <v>44415.628849618057</v>
      </c>
      <c r="P743" s="21"/>
      <c r="Q743">
        <v>0</v>
      </c>
      <c r="T743">
        <v>60</v>
      </c>
    </row>
    <row r="744" spans="1:20" x14ac:dyDescent="0.25">
      <c r="A744">
        <v>744</v>
      </c>
      <c r="B744" s="1" t="s">
        <v>3225</v>
      </c>
      <c r="C744" s="1" t="s">
        <v>3226</v>
      </c>
      <c r="D744" s="1" t="s">
        <v>3227</v>
      </c>
      <c r="E744" s="1"/>
      <c r="F744" s="1"/>
      <c r="G744" s="1" t="s">
        <v>713</v>
      </c>
      <c r="H744" s="1" t="s">
        <v>3228</v>
      </c>
      <c r="I744" s="1"/>
      <c r="J744" s="1" t="s">
        <v>641</v>
      </c>
      <c r="K744">
        <v>1</v>
      </c>
      <c r="L744">
        <v>0</v>
      </c>
      <c r="N744" s="21">
        <v>44415.628849618057</v>
      </c>
      <c r="O744" s="21">
        <v>44415.628849618057</v>
      </c>
      <c r="P744" s="21"/>
      <c r="Q744">
        <v>0</v>
      </c>
      <c r="T744">
        <v>60</v>
      </c>
    </row>
    <row r="745" spans="1:20" x14ac:dyDescent="0.25">
      <c r="A745">
        <v>745</v>
      </c>
      <c r="B745" s="1" t="s">
        <v>3229</v>
      </c>
      <c r="C745" s="1"/>
      <c r="D745" s="1" t="s">
        <v>3230</v>
      </c>
      <c r="E745" s="1"/>
      <c r="F745" s="1"/>
      <c r="G745" s="1" t="s">
        <v>644</v>
      </c>
      <c r="H745" s="1" t="s">
        <v>3231</v>
      </c>
      <c r="I745" s="1"/>
      <c r="J745" s="1"/>
      <c r="K745">
        <v>0</v>
      </c>
      <c r="L745">
        <v>0</v>
      </c>
      <c r="N745" s="21">
        <v>44415.628849618057</v>
      </c>
      <c r="O745" s="21">
        <v>44415.628849618057</v>
      </c>
      <c r="P745" s="21"/>
      <c r="Q745">
        <v>0</v>
      </c>
      <c r="T745">
        <v>60</v>
      </c>
    </row>
    <row r="746" spans="1:20" x14ac:dyDescent="0.25">
      <c r="A746">
        <v>746</v>
      </c>
      <c r="B746" s="1" t="s">
        <v>3232</v>
      </c>
      <c r="C746" s="1" t="s">
        <v>3233</v>
      </c>
      <c r="D746" s="1" t="s">
        <v>3234</v>
      </c>
      <c r="E746" s="1"/>
      <c r="F746" s="1"/>
      <c r="G746" s="1" t="s">
        <v>634</v>
      </c>
      <c r="H746" s="1" t="s">
        <v>3235</v>
      </c>
      <c r="I746" s="1" t="s">
        <v>568</v>
      </c>
      <c r="J746" s="1" t="s">
        <v>754</v>
      </c>
      <c r="K746">
        <v>0</v>
      </c>
      <c r="L746">
        <v>1</v>
      </c>
      <c r="M746">
        <v>32</v>
      </c>
      <c r="N746" s="21">
        <v>44415.628849618057</v>
      </c>
      <c r="O746" s="21">
        <v>44415.628849618057</v>
      </c>
      <c r="P746" s="21"/>
      <c r="Q746">
        <v>0</v>
      </c>
      <c r="T746">
        <v>60</v>
      </c>
    </row>
    <row r="747" spans="1:20" x14ac:dyDescent="0.25">
      <c r="A747">
        <v>747</v>
      </c>
      <c r="B747" s="1" t="s">
        <v>3236</v>
      </c>
      <c r="C747" s="1" t="s">
        <v>3237</v>
      </c>
      <c r="D747" s="1" t="s">
        <v>3238</v>
      </c>
      <c r="E747" s="1"/>
      <c r="F747" s="1"/>
      <c r="G747" s="1" t="s">
        <v>634</v>
      </c>
      <c r="H747" s="1" t="s">
        <v>3239</v>
      </c>
      <c r="I747" s="1" t="s">
        <v>568</v>
      </c>
      <c r="J747" s="1" t="s">
        <v>636</v>
      </c>
      <c r="K747">
        <v>0</v>
      </c>
      <c r="L747">
        <v>1</v>
      </c>
      <c r="M747">
        <v>8</v>
      </c>
      <c r="N747" s="21">
        <v>44415.628849618057</v>
      </c>
      <c r="O747" s="21">
        <v>44415.628849618057</v>
      </c>
      <c r="P747" s="21"/>
      <c r="Q747">
        <v>0</v>
      </c>
      <c r="T747">
        <v>60</v>
      </c>
    </row>
    <row r="748" spans="1:20" x14ac:dyDescent="0.25">
      <c r="A748">
        <v>748</v>
      </c>
      <c r="B748" s="1" t="s">
        <v>3240</v>
      </c>
      <c r="C748" s="1" t="s">
        <v>3241</v>
      </c>
      <c r="D748" s="1" t="s">
        <v>3242</v>
      </c>
      <c r="E748" s="1"/>
      <c r="F748" s="1"/>
      <c r="G748" s="1" t="s">
        <v>634</v>
      </c>
      <c r="H748" s="1" t="s">
        <v>3243</v>
      </c>
      <c r="I748" s="1" t="s">
        <v>568</v>
      </c>
      <c r="J748" s="1" t="s">
        <v>867</v>
      </c>
      <c r="K748">
        <v>0</v>
      </c>
      <c r="L748">
        <v>1</v>
      </c>
      <c r="M748">
        <v>164</v>
      </c>
      <c r="N748" s="21">
        <v>44415.628849618057</v>
      </c>
      <c r="O748" s="21">
        <v>44415.628849618057</v>
      </c>
      <c r="P748" s="21"/>
      <c r="Q748">
        <v>0</v>
      </c>
      <c r="T748">
        <v>60</v>
      </c>
    </row>
    <row r="749" spans="1:20" x14ac:dyDescent="0.25">
      <c r="A749">
        <v>749</v>
      </c>
      <c r="B749" s="1" t="s">
        <v>3244</v>
      </c>
      <c r="C749" s="1" t="s">
        <v>3245</v>
      </c>
      <c r="D749" s="1" t="s">
        <v>3246</v>
      </c>
      <c r="E749" s="1"/>
      <c r="F749" s="1"/>
      <c r="G749" s="1" t="s">
        <v>634</v>
      </c>
      <c r="H749" s="1" t="s">
        <v>3247</v>
      </c>
      <c r="I749" s="1" t="s">
        <v>568</v>
      </c>
      <c r="J749" s="1" t="s">
        <v>636</v>
      </c>
      <c r="K749">
        <v>0</v>
      </c>
      <c r="L749">
        <v>1</v>
      </c>
      <c r="M749">
        <v>39</v>
      </c>
      <c r="N749" s="21">
        <v>44415.628849618057</v>
      </c>
      <c r="O749" s="21">
        <v>44415.628849618057</v>
      </c>
      <c r="P749" s="21"/>
      <c r="Q749">
        <v>0</v>
      </c>
      <c r="T749">
        <v>60</v>
      </c>
    </row>
    <row r="750" spans="1:20" x14ac:dyDescent="0.25">
      <c r="A750">
        <v>750</v>
      </c>
      <c r="B750" s="1" t="s">
        <v>3248</v>
      </c>
      <c r="C750" s="1"/>
      <c r="D750" s="1" t="s">
        <v>3249</v>
      </c>
      <c r="E750" s="1"/>
      <c r="F750" s="1"/>
      <c r="G750" s="1" t="s">
        <v>634</v>
      </c>
      <c r="H750" s="1" t="s">
        <v>3250</v>
      </c>
      <c r="I750" s="1" t="s">
        <v>568</v>
      </c>
      <c r="J750" s="1" t="s">
        <v>636</v>
      </c>
      <c r="K750">
        <v>0</v>
      </c>
      <c r="L750">
        <v>0</v>
      </c>
      <c r="N750" s="21">
        <v>44415.628849618057</v>
      </c>
      <c r="O750" s="21">
        <v>44415.628849618057</v>
      </c>
      <c r="P750" s="21"/>
      <c r="Q750">
        <v>0</v>
      </c>
      <c r="T750">
        <v>60</v>
      </c>
    </row>
    <row r="751" spans="1:20" x14ac:dyDescent="0.25">
      <c r="A751">
        <v>751</v>
      </c>
      <c r="B751" s="1" t="s">
        <v>3251</v>
      </c>
      <c r="C751" s="1"/>
      <c r="D751" s="1" t="s">
        <v>3252</v>
      </c>
      <c r="E751" s="1"/>
      <c r="F751" s="1"/>
      <c r="G751" s="1" t="s">
        <v>644</v>
      </c>
      <c r="H751" s="1" t="s">
        <v>3253</v>
      </c>
      <c r="I751" s="1" t="s">
        <v>568</v>
      </c>
      <c r="J751" s="1"/>
      <c r="K751">
        <v>0</v>
      </c>
      <c r="L751">
        <v>0</v>
      </c>
      <c r="N751" s="21">
        <v>44415.628849618057</v>
      </c>
      <c r="O751" s="21">
        <v>44415.628849618057</v>
      </c>
      <c r="P751" s="21"/>
      <c r="Q751">
        <v>0</v>
      </c>
      <c r="T751">
        <v>30</v>
      </c>
    </row>
    <row r="752" spans="1:20" x14ac:dyDescent="0.25">
      <c r="A752">
        <v>752</v>
      </c>
      <c r="B752" s="1" t="s">
        <v>3254</v>
      </c>
      <c r="C752" s="1"/>
      <c r="D752" s="1" t="s">
        <v>3255</v>
      </c>
      <c r="E752" s="1"/>
      <c r="F752" s="1"/>
      <c r="G752" s="1" t="s">
        <v>634</v>
      </c>
      <c r="H752" s="1" t="s">
        <v>3256</v>
      </c>
      <c r="I752" s="1" t="s">
        <v>568</v>
      </c>
      <c r="J752" s="1"/>
      <c r="K752">
        <v>0</v>
      </c>
      <c r="L752">
        <v>0</v>
      </c>
      <c r="N752" s="21">
        <v>44415.628849618057</v>
      </c>
      <c r="O752" s="21">
        <v>44415.628849618057</v>
      </c>
      <c r="P752" s="21"/>
      <c r="Q752">
        <v>0</v>
      </c>
      <c r="T752">
        <v>60</v>
      </c>
    </row>
    <row r="753" spans="1:20" x14ac:dyDescent="0.25">
      <c r="A753">
        <v>753</v>
      </c>
      <c r="B753" s="1" t="s">
        <v>3257</v>
      </c>
      <c r="C753" s="1"/>
      <c r="D753" s="1" t="s">
        <v>3258</v>
      </c>
      <c r="E753" s="1" t="s">
        <v>3259</v>
      </c>
      <c r="F753" s="1"/>
      <c r="G753" s="1" t="s">
        <v>634</v>
      </c>
      <c r="H753" s="1" t="s">
        <v>3260</v>
      </c>
      <c r="I753" s="1" t="s">
        <v>568</v>
      </c>
      <c r="J753" s="1"/>
      <c r="K753">
        <v>0</v>
      </c>
      <c r="L753">
        <v>0</v>
      </c>
      <c r="N753" s="21">
        <v>44415.628849618057</v>
      </c>
      <c r="O753" s="21">
        <v>44415.628849618057</v>
      </c>
      <c r="P753" s="21"/>
      <c r="Q753">
        <v>0</v>
      </c>
      <c r="T753">
        <v>60</v>
      </c>
    </row>
    <row r="754" spans="1:20" x14ac:dyDescent="0.25">
      <c r="A754">
        <v>754</v>
      </c>
      <c r="B754" s="1" t="s">
        <v>3261</v>
      </c>
      <c r="C754" s="1"/>
      <c r="D754" s="1" t="s">
        <v>3258</v>
      </c>
      <c r="E754" s="1" t="s">
        <v>3259</v>
      </c>
      <c r="F754" s="1"/>
      <c r="G754" s="1" t="s">
        <v>644</v>
      </c>
      <c r="H754" s="1" t="s">
        <v>3260</v>
      </c>
      <c r="I754" s="1" t="s">
        <v>568</v>
      </c>
      <c r="J754" s="1"/>
      <c r="K754">
        <v>0</v>
      </c>
      <c r="L754">
        <v>0</v>
      </c>
      <c r="N754" s="21">
        <v>44415.628849618057</v>
      </c>
      <c r="O754" s="21">
        <v>44415.628849618057</v>
      </c>
      <c r="P754" s="21"/>
      <c r="Q754">
        <v>0</v>
      </c>
      <c r="T754">
        <v>60</v>
      </c>
    </row>
    <row r="755" spans="1:20" x14ac:dyDescent="0.25">
      <c r="A755">
        <v>755</v>
      </c>
      <c r="B755" s="1" t="s">
        <v>3262</v>
      </c>
      <c r="C755" s="1"/>
      <c r="D755" s="1" t="s">
        <v>3263</v>
      </c>
      <c r="E755" s="1"/>
      <c r="F755" s="1"/>
      <c r="G755" s="1" t="s">
        <v>634</v>
      </c>
      <c r="H755" s="1" t="s">
        <v>3264</v>
      </c>
      <c r="I755" s="1"/>
      <c r="J755" s="1"/>
      <c r="K755">
        <v>0</v>
      </c>
      <c r="L755">
        <v>0</v>
      </c>
      <c r="N755" s="21">
        <v>44415.628849618057</v>
      </c>
      <c r="O755" s="21">
        <v>44415.628849618057</v>
      </c>
      <c r="P755" s="21"/>
      <c r="Q755">
        <v>0</v>
      </c>
      <c r="T755">
        <v>60</v>
      </c>
    </row>
    <row r="756" spans="1:20" x14ac:dyDescent="0.25">
      <c r="A756">
        <v>756</v>
      </c>
      <c r="B756" s="1" t="s">
        <v>3265</v>
      </c>
      <c r="C756" s="1"/>
      <c r="D756" s="1" t="s">
        <v>3266</v>
      </c>
      <c r="E756" s="1"/>
      <c r="F756" s="1"/>
      <c r="G756" s="1" t="s">
        <v>634</v>
      </c>
      <c r="H756" s="1" t="s">
        <v>3267</v>
      </c>
      <c r="I756" s="1" t="s">
        <v>568</v>
      </c>
      <c r="J756" s="1" t="s">
        <v>641</v>
      </c>
      <c r="K756">
        <v>0</v>
      </c>
      <c r="L756">
        <v>0</v>
      </c>
      <c r="N756" s="21">
        <v>44415.628849618057</v>
      </c>
      <c r="O756" s="21">
        <v>44415.628849618057</v>
      </c>
      <c r="P756" s="21"/>
      <c r="Q756">
        <v>0</v>
      </c>
      <c r="T756">
        <v>60</v>
      </c>
    </row>
    <row r="757" spans="1:20" x14ac:dyDescent="0.25">
      <c r="A757">
        <v>757</v>
      </c>
      <c r="B757" s="1" t="s">
        <v>3268</v>
      </c>
      <c r="C757" s="1"/>
      <c r="D757" s="1" t="s">
        <v>3269</v>
      </c>
      <c r="E757" s="1"/>
      <c r="F757" s="1"/>
      <c r="G757" s="1"/>
      <c r="H757" s="1" t="s">
        <v>3270</v>
      </c>
      <c r="I757" s="1"/>
      <c r="J757" s="1"/>
      <c r="K757">
        <v>0</v>
      </c>
      <c r="L757">
        <v>0</v>
      </c>
      <c r="N757" s="21">
        <v>44415.628849618057</v>
      </c>
      <c r="O757" s="21">
        <v>44415.628849618057</v>
      </c>
      <c r="P757" s="21"/>
      <c r="Q757">
        <v>0</v>
      </c>
      <c r="T757">
        <v>60</v>
      </c>
    </row>
    <row r="758" spans="1:20" x14ac:dyDescent="0.25">
      <c r="A758">
        <v>758</v>
      </c>
      <c r="B758" s="1" t="s">
        <v>3271</v>
      </c>
      <c r="C758" s="1"/>
      <c r="D758" s="1" t="s">
        <v>3272</v>
      </c>
      <c r="E758" s="1"/>
      <c r="F758" s="1"/>
      <c r="G758" s="1" t="s">
        <v>644</v>
      </c>
      <c r="H758" s="1" t="s">
        <v>3273</v>
      </c>
      <c r="I758" s="1"/>
      <c r="J758" s="1"/>
      <c r="K758">
        <v>0</v>
      </c>
      <c r="L758">
        <v>0</v>
      </c>
      <c r="N758" s="21">
        <v>44415.628849618057</v>
      </c>
      <c r="O758" s="21">
        <v>44415.628849618057</v>
      </c>
      <c r="P758" s="21"/>
      <c r="Q758">
        <v>0</v>
      </c>
      <c r="T758">
        <v>60</v>
      </c>
    </row>
    <row r="759" spans="1:20" x14ac:dyDescent="0.25">
      <c r="A759">
        <v>759</v>
      </c>
      <c r="B759" s="1" t="s">
        <v>3274</v>
      </c>
      <c r="C759" s="1"/>
      <c r="D759" s="1" t="s">
        <v>3275</v>
      </c>
      <c r="E759" s="1"/>
      <c r="F759" s="1"/>
      <c r="G759" s="1" t="s">
        <v>644</v>
      </c>
      <c r="H759" s="1" t="s">
        <v>3276</v>
      </c>
      <c r="I759" s="1" t="s">
        <v>568</v>
      </c>
      <c r="J759" s="1" t="s">
        <v>1687</v>
      </c>
      <c r="K759">
        <v>0</v>
      </c>
      <c r="L759">
        <v>0</v>
      </c>
      <c r="N759" s="21">
        <v>44415.628849618057</v>
      </c>
      <c r="O759" s="21">
        <v>44415.628849618057</v>
      </c>
      <c r="P759" s="21"/>
      <c r="Q759">
        <v>0</v>
      </c>
      <c r="T759">
        <v>60</v>
      </c>
    </row>
    <row r="760" spans="1:20" x14ac:dyDescent="0.25">
      <c r="A760">
        <v>760</v>
      </c>
      <c r="B760" s="1" t="s">
        <v>3277</v>
      </c>
      <c r="C760" s="1" t="s">
        <v>3278</v>
      </c>
      <c r="D760" s="1" t="s">
        <v>3279</v>
      </c>
      <c r="E760" s="1"/>
      <c r="F760" s="1"/>
      <c r="G760" s="1" t="s">
        <v>634</v>
      </c>
      <c r="H760" s="1" t="s">
        <v>3280</v>
      </c>
      <c r="I760" s="1" t="s">
        <v>568</v>
      </c>
      <c r="J760" s="1" t="s">
        <v>641</v>
      </c>
      <c r="K760">
        <v>0</v>
      </c>
      <c r="L760">
        <v>1</v>
      </c>
      <c r="M760">
        <v>4955</v>
      </c>
      <c r="N760" s="21">
        <v>44415.628849618057</v>
      </c>
      <c r="O760" s="21">
        <v>44415.628849618057</v>
      </c>
      <c r="P760" s="21"/>
      <c r="Q760">
        <v>0</v>
      </c>
      <c r="T760">
        <v>60</v>
      </c>
    </row>
    <row r="761" spans="1:20" x14ac:dyDescent="0.25">
      <c r="A761">
        <v>761</v>
      </c>
      <c r="B761" s="1" t="s">
        <v>3281</v>
      </c>
      <c r="C761" s="1" t="s">
        <v>3282</v>
      </c>
      <c r="D761" s="1" t="s">
        <v>3283</v>
      </c>
      <c r="E761" s="1"/>
      <c r="F761" s="1"/>
      <c r="G761" s="1" t="s">
        <v>644</v>
      </c>
      <c r="H761" s="1" t="s">
        <v>3284</v>
      </c>
      <c r="I761" s="1" t="s">
        <v>1163</v>
      </c>
      <c r="J761" s="1" t="s">
        <v>641</v>
      </c>
      <c r="K761">
        <v>0</v>
      </c>
      <c r="L761">
        <v>1</v>
      </c>
      <c r="M761">
        <v>36</v>
      </c>
      <c r="N761" s="21">
        <v>44415.628849618057</v>
      </c>
      <c r="O761" s="21">
        <v>44415.628849618057</v>
      </c>
      <c r="P761" s="21"/>
      <c r="Q761">
        <v>0</v>
      </c>
      <c r="T761">
        <v>60</v>
      </c>
    </row>
    <row r="762" spans="1:20" x14ac:dyDescent="0.25">
      <c r="A762">
        <v>762</v>
      </c>
      <c r="B762" s="1" t="s">
        <v>3285</v>
      </c>
      <c r="C762" s="1" t="s">
        <v>3286</v>
      </c>
      <c r="D762" s="1" t="s">
        <v>3287</v>
      </c>
      <c r="E762" s="1"/>
      <c r="F762" s="1" t="s">
        <v>3288</v>
      </c>
      <c r="G762" s="1" t="s">
        <v>644</v>
      </c>
      <c r="H762" s="1" t="s">
        <v>3289</v>
      </c>
      <c r="I762" s="1" t="s">
        <v>1059</v>
      </c>
      <c r="J762" s="1" t="s">
        <v>636</v>
      </c>
      <c r="K762">
        <v>0</v>
      </c>
      <c r="L762">
        <v>1</v>
      </c>
      <c r="M762">
        <v>205</v>
      </c>
      <c r="N762" s="21">
        <v>44415.628849618057</v>
      </c>
      <c r="O762" s="21">
        <v>44415.628849618057</v>
      </c>
      <c r="P762" s="21"/>
      <c r="Q762">
        <v>0</v>
      </c>
      <c r="T762">
        <v>60</v>
      </c>
    </row>
    <row r="763" spans="1:20" x14ac:dyDescent="0.25">
      <c r="A763">
        <v>763</v>
      </c>
      <c r="B763" s="1" t="s">
        <v>3290</v>
      </c>
      <c r="C763" s="1" t="s">
        <v>3291</v>
      </c>
      <c r="D763" s="1" t="s">
        <v>3292</v>
      </c>
      <c r="E763" s="1"/>
      <c r="F763" s="1"/>
      <c r="G763" s="1" t="s">
        <v>634</v>
      </c>
      <c r="H763" s="1" t="s">
        <v>3293</v>
      </c>
      <c r="I763" s="1" t="s">
        <v>568</v>
      </c>
      <c r="J763" s="1"/>
      <c r="K763">
        <v>0</v>
      </c>
      <c r="L763">
        <v>1</v>
      </c>
      <c r="M763">
        <v>95</v>
      </c>
      <c r="N763" s="21">
        <v>44415.628849618057</v>
      </c>
      <c r="O763" s="21">
        <v>44415.628849618057</v>
      </c>
      <c r="P763" s="21"/>
      <c r="Q763">
        <v>0</v>
      </c>
      <c r="T763">
        <v>60</v>
      </c>
    </row>
    <row r="764" spans="1:20" x14ac:dyDescent="0.25">
      <c r="A764">
        <v>764</v>
      </c>
      <c r="B764" s="1" t="s">
        <v>3294</v>
      </c>
      <c r="C764" s="1" t="s">
        <v>3295</v>
      </c>
      <c r="D764" s="1" t="s">
        <v>3296</v>
      </c>
      <c r="E764" s="1"/>
      <c r="F764" s="1"/>
      <c r="G764" s="1" t="s">
        <v>713</v>
      </c>
      <c r="H764" s="1" t="s">
        <v>3297</v>
      </c>
      <c r="I764" s="1"/>
      <c r="J764" s="1" t="s">
        <v>636</v>
      </c>
      <c r="K764">
        <v>1</v>
      </c>
      <c r="L764">
        <v>1</v>
      </c>
      <c r="N764" s="21">
        <v>44415.628849618057</v>
      </c>
      <c r="O764" s="21">
        <v>44415.628849618057</v>
      </c>
      <c r="P764" s="21"/>
      <c r="Q764">
        <v>0</v>
      </c>
      <c r="T764">
        <v>60</v>
      </c>
    </row>
    <row r="765" spans="1:20" x14ac:dyDescent="0.25">
      <c r="A765">
        <v>765</v>
      </c>
      <c r="B765" s="1" t="s">
        <v>3298</v>
      </c>
      <c r="C765" s="1"/>
      <c r="D765" s="1" t="s">
        <v>3299</v>
      </c>
      <c r="E765" s="1"/>
      <c r="F765" s="1"/>
      <c r="G765" s="1"/>
      <c r="H765" s="1" t="s">
        <v>3300</v>
      </c>
      <c r="I765" s="1"/>
      <c r="J765" s="1"/>
      <c r="K765">
        <v>0</v>
      </c>
      <c r="L765">
        <v>0</v>
      </c>
      <c r="N765" s="21">
        <v>44415.628849618057</v>
      </c>
      <c r="O765" s="21">
        <v>44415.628849618057</v>
      </c>
      <c r="P765" s="21"/>
      <c r="Q765">
        <v>0</v>
      </c>
      <c r="T765">
        <v>60</v>
      </c>
    </row>
    <row r="766" spans="1:20" x14ac:dyDescent="0.25">
      <c r="A766">
        <v>766</v>
      </c>
      <c r="B766" s="1" t="s">
        <v>3301</v>
      </c>
      <c r="C766" s="1"/>
      <c r="D766" s="1" t="s">
        <v>3302</v>
      </c>
      <c r="E766" s="1"/>
      <c r="F766" s="1"/>
      <c r="G766" s="1" t="s">
        <v>644</v>
      </c>
      <c r="H766" s="1" t="s">
        <v>3303</v>
      </c>
      <c r="I766" s="1"/>
      <c r="J766" s="1"/>
      <c r="K766">
        <v>0</v>
      </c>
      <c r="L766">
        <v>0</v>
      </c>
      <c r="N766" s="21">
        <v>44415.628849618057</v>
      </c>
      <c r="O766" s="21">
        <v>44415.628849618057</v>
      </c>
      <c r="P766" s="21"/>
      <c r="Q766">
        <v>0</v>
      </c>
      <c r="T766">
        <v>60</v>
      </c>
    </row>
    <row r="767" spans="1:20" x14ac:dyDescent="0.25">
      <c r="A767">
        <v>767</v>
      </c>
      <c r="B767" s="1" t="s">
        <v>3304</v>
      </c>
      <c r="C767" s="1"/>
      <c r="D767" s="1" t="s">
        <v>3305</v>
      </c>
      <c r="E767" s="1"/>
      <c r="F767" s="1"/>
      <c r="G767" s="1" t="s">
        <v>644</v>
      </c>
      <c r="H767" s="1" t="s">
        <v>3306</v>
      </c>
      <c r="I767" s="1"/>
      <c r="J767" s="1" t="s">
        <v>641</v>
      </c>
      <c r="K767">
        <v>0</v>
      </c>
      <c r="L767">
        <v>0</v>
      </c>
      <c r="N767" s="21">
        <v>44415.628849618057</v>
      </c>
      <c r="O767" s="21">
        <v>44415.628849618057</v>
      </c>
      <c r="P767" s="21"/>
      <c r="Q767">
        <v>0</v>
      </c>
      <c r="T767">
        <v>60</v>
      </c>
    </row>
    <row r="768" spans="1:20" x14ac:dyDescent="0.25">
      <c r="A768">
        <v>768</v>
      </c>
      <c r="B768" s="1" t="s">
        <v>3307</v>
      </c>
      <c r="C768" s="1"/>
      <c r="D768" s="1" t="s">
        <v>3308</v>
      </c>
      <c r="E768" s="1"/>
      <c r="F768" s="1"/>
      <c r="G768" s="1" t="s">
        <v>644</v>
      </c>
      <c r="H768" s="1" t="s">
        <v>3309</v>
      </c>
      <c r="I768" s="1" t="s">
        <v>568</v>
      </c>
      <c r="J768" s="1" t="s">
        <v>754</v>
      </c>
      <c r="K768">
        <v>0</v>
      </c>
      <c r="L768">
        <v>0</v>
      </c>
      <c r="N768" s="21">
        <v>44415.628849618057</v>
      </c>
      <c r="O768" s="21">
        <v>44415.628849618057</v>
      </c>
      <c r="P768" s="21"/>
      <c r="Q768">
        <v>0</v>
      </c>
      <c r="T768">
        <v>60</v>
      </c>
    </row>
    <row r="769" spans="1:20" x14ac:dyDescent="0.25">
      <c r="A769">
        <v>769</v>
      </c>
      <c r="B769" s="1" t="s">
        <v>3310</v>
      </c>
      <c r="C769" s="1"/>
      <c r="D769" s="1" t="s">
        <v>3311</v>
      </c>
      <c r="E769" s="1"/>
      <c r="F769" s="1"/>
      <c r="G769" s="1" t="s">
        <v>634</v>
      </c>
      <c r="H769" s="1" t="s">
        <v>3312</v>
      </c>
      <c r="I769" s="1" t="s">
        <v>782</v>
      </c>
      <c r="J769" s="1" t="s">
        <v>636</v>
      </c>
      <c r="K769">
        <v>0</v>
      </c>
      <c r="L769">
        <v>0</v>
      </c>
      <c r="N769" s="21">
        <v>44415.628849618057</v>
      </c>
      <c r="O769" s="21">
        <v>44415.628849618057</v>
      </c>
      <c r="P769" s="21"/>
      <c r="Q769">
        <v>0</v>
      </c>
      <c r="T769">
        <v>60</v>
      </c>
    </row>
    <row r="770" spans="1:20" x14ac:dyDescent="0.25">
      <c r="A770">
        <v>770</v>
      </c>
      <c r="B770" s="1" t="s">
        <v>3313</v>
      </c>
      <c r="C770" s="1"/>
      <c r="D770" s="1" t="s">
        <v>3314</v>
      </c>
      <c r="E770" s="1"/>
      <c r="F770" s="1"/>
      <c r="G770" s="1" t="s">
        <v>634</v>
      </c>
      <c r="H770" s="1" t="s">
        <v>3315</v>
      </c>
      <c r="I770" s="1"/>
      <c r="J770" s="1"/>
      <c r="K770">
        <v>0</v>
      </c>
      <c r="L770">
        <v>0</v>
      </c>
      <c r="N770" s="21">
        <v>44415.628849618057</v>
      </c>
      <c r="O770" s="21">
        <v>44415.628849618057</v>
      </c>
      <c r="P770" s="21"/>
      <c r="Q770">
        <v>0</v>
      </c>
      <c r="T770">
        <v>60</v>
      </c>
    </row>
    <row r="771" spans="1:20" x14ac:dyDescent="0.25">
      <c r="A771">
        <v>771</v>
      </c>
      <c r="B771" s="1" t="s">
        <v>3316</v>
      </c>
      <c r="C771" s="1" t="s">
        <v>3317</v>
      </c>
      <c r="D771" s="1" t="s">
        <v>3318</v>
      </c>
      <c r="E771" s="1"/>
      <c r="F771" s="1"/>
      <c r="G771" s="1" t="s">
        <v>644</v>
      </c>
      <c r="H771" s="1" t="s">
        <v>3319</v>
      </c>
      <c r="I771" s="1" t="s">
        <v>995</v>
      </c>
      <c r="J771" s="1" t="s">
        <v>641</v>
      </c>
      <c r="K771">
        <v>0</v>
      </c>
      <c r="L771">
        <v>1</v>
      </c>
      <c r="M771">
        <v>5372</v>
      </c>
      <c r="N771" s="21">
        <v>44415.628849618057</v>
      </c>
      <c r="O771" s="21">
        <v>44415.628849618057</v>
      </c>
      <c r="P771" s="21"/>
      <c r="Q771">
        <v>0</v>
      </c>
      <c r="T771">
        <v>60</v>
      </c>
    </row>
    <row r="772" spans="1:20" x14ac:dyDescent="0.25">
      <c r="A772">
        <v>772</v>
      </c>
      <c r="B772" s="1" t="s">
        <v>3320</v>
      </c>
      <c r="C772" s="1" t="s">
        <v>3321</v>
      </c>
      <c r="D772" s="1" t="s">
        <v>3322</v>
      </c>
      <c r="E772" s="1"/>
      <c r="F772" s="1"/>
      <c r="G772" s="1" t="s">
        <v>634</v>
      </c>
      <c r="H772" s="1" t="s">
        <v>3323</v>
      </c>
      <c r="I772" s="1" t="s">
        <v>568</v>
      </c>
      <c r="J772" s="1" t="s">
        <v>641</v>
      </c>
      <c r="K772">
        <v>0</v>
      </c>
      <c r="L772">
        <v>1</v>
      </c>
      <c r="M772">
        <v>110</v>
      </c>
      <c r="N772" s="21">
        <v>44415.628849618057</v>
      </c>
      <c r="O772" s="21">
        <v>44415.628849618057</v>
      </c>
      <c r="P772" s="21"/>
      <c r="Q772">
        <v>0</v>
      </c>
      <c r="T772">
        <v>60</v>
      </c>
    </row>
    <row r="773" spans="1:20" x14ac:dyDescent="0.25">
      <c r="A773">
        <v>773</v>
      </c>
      <c r="B773" s="1" t="s">
        <v>3324</v>
      </c>
      <c r="C773" s="1"/>
      <c r="D773" s="1" t="s">
        <v>3325</v>
      </c>
      <c r="E773" s="1"/>
      <c r="F773" s="1"/>
      <c r="G773" s="1" t="s">
        <v>644</v>
      </c>
      <c r="H773" s="1" t="s">
        <v>3326</v>
      </c>
      <c r="I773" s="1"/>
      <c r="J773" s="1"/>
      <c r="K773">
        <v>0</v>
      </c>
      <c r="L773">
        <v>0</v>
      </c>
      <c r="N773" s="21">
        <v>44415.628849618057</v>
      </c>
      <c r="O773" s="21">
        <v>44415.628849618057</v>
      </c>
      <c r="P773" s="21"/>
      <c r="Q773">
        <v>0</v>
      </c>
      <c r="T773">
        <v>60</v>
      </c>
    </row>
    <row r="774" spans="1:20" x14ac:dyDescent="0.25">
      <c r="A774">
        <v>774</v>
      </c>
      <c r="B774" s="1" t="s">
        <v>3327</v>
      </c>
      <c r="C774" s="1" t="s">
        <v>3328</v>
      </c>
      <c r="D774" s="1" t="s">
        <v>3329</v>
      </c>
      <c r="E774" s="1"/>
      <c r="F774" s="1"/>
      <c r="G774" s="1" t="s">
        <v>644</v>
      </c>
      <c r="H774" s="1" t="s">
        <v>3330</v>
      </c>
      <c r="I774" s="1" t="s">
        <v>568</v>
      </c>
      <c r="J774" s="1" t="s">
        <v>636</v>
      </c>
      <c r="K774">
        <v>0</v>
      </c>
      <c r="L774">
        <v>1</v>
      </c>
      <c r="M774">
        <v>4333</v>
      </c>
      <c r="N774" s="21">
        <v>44415.628849618057</v>
      </c>
      <c r="O774" s="21">
        <v>44415.628849618057</v>
      </c>
      <c r="P774" s="21"/>
      <c r="Q774">
        <v>0</v>
      </c>
      <c r="T774">
        <v>60</v>
      </c>
    </row>
    <row r="775" spans="1:20" x14ac:dyDescent="0.25">
      <c r="A775">
        <v>775</v>
      </c>
      <c r="B775" s="1" t="s">
        <v>3331</v>
      </c>
      <c r="C775" s="1"/>
      <c r="D775" s="1" t="s">
        <v>3332</v>
      </c>
      <c r="E775" s="1"/>
      <c r="F775" s="1"/>
      <c r="G775" s="1" t="s">
        <v>644</v>
      </c>
      <c r="H775" s="1" t="s">
        <v>3333</v>
      </c>
      <c r="I775" s="1"/>
      <c r="J775" s="1"/>
      <c r="K775">
        <v>0</v>
      </c>
      <c r="L775">
        <v>0</v>
      </c>
      <c r="N775" s="21">
        <v>44415.628849618057</v>
      </c>
      <c r="O775" s="21">
        <v>44415.628849618057</v>
      </c>
      <c r="P775" s="21"/>
      <c r="Q775">
        <v>0</v>
      </c>
      <c r="T775">
        <v>60</v>
      </c>
    </row>
    <row r="776" spans="1:20" x14ac:dyDescent="0.25">
      <c r="A776">
        <v>776</v>
      </c>
      <c r="B776" s="1" t="s">
        <v>3334</v>
      </c>
      <c r="C776" s="1"/>
      <c r="D776" s="1" t="s">
        <v>3335</v>
      </c>
      <c r="E776" s="1"/>
      <c r="F776" s="1"/>
      <c r="G776" s="1" t="s">
        <v>634</v>
      </c>
      <c r="H776" s="1" t="s">
        <v>3336</v>
      </c>
      <c r="I776" s="1" t="s">
        <v>1702</v>
      </c>
      <c r="J776" s="1" t="s">
        <v>3337</v>
      </c>
      <c r="K776">
        <v>0</v>
      </c>
      <c r="L776">
        <v>0</v>
      </c>
      <c r="N776" s="21">
        <v>44415.628849618057</v>
      </c>
      <c r="O776" s="21">
        <v>44415.628849618057</v>
      </c>
      <c r="P776" s="21"/>
      <c r="Q776">
        <v>0</v>
      </c>
      <c r="T776">
        <v>60</v>
      </c>
    </row>
    <row r="777" spans="1:20" x14ac:dyDescent="0.25">
      <c r="A777">
        <v>777</v>
      </c>
      <c r="B777" s="1" t="s">
        <v>3338</v>
      </c>
      <c r="C777" s="1"/>
      <c r="D777" s="1" t="s">
        <v>3339</v>
      </c>
      <c r="E777" s="1"/>
      <c r="F777" s="1"/>
      <c r="G777" s="1" t="s">
        <v>634</v>
      </c>
      <c r="H777" s="1" t="s">
        <v>3340</v>
      </c>
      <c r="I777" s="1" t="s">
        <v>1740</v>
      </c>
      <c r="J777" s="1"/>
      <c r="K777">
        <v>0</v>
      </c>
      <c r="L777">
        <v>0</v>
      </c>
      <c r="N777" s="21">
        <v>44415.628849618057</v>
      </c>
      <c r="O777" s="21">
        <v>44415.628849618057</v>
      </c>
      <c r="P777" s="21"/>
      <c r="Q777">
        <v>0</v>
      </c>
      <c r="T777">
        <v>60</v>
      </c>
    </row>
    <row r="778" spans="1:20" x14ac:dyDescent="0.25">
      <c r="A778">
        <v>778</v>
      </c>
      <c r="B778" s="1" t="s">
        <v>3341</v>
      </c>
      <c r="C778" s="1"/>
      <c r="D778" s="1" t="s">
        <v>3342</v>
      </c>
      <c r="E778" s="1"/>
      <c r="F778" s="1"/>
      <c r="G778" s="1" t="s">
        <v>644</v>
      </c>
      <c r="H778" s="1" t="s">
        <v>3343</v>
      </c>
      <c r="I778" s="1"/>
      <c r="J778" s="1"/>
      <c r="K778">
        <v>0</v>
      </c>
      <c r="L778">
        <v>0</v>
      </c>
      <c r="N778" s="21">
        <v>44415.628849618057</v>
      </c>
      <c r="O778" s="21">
        <v>44415.628849618057</v>
      </c>
      <c r="P778" s="21"/>
      <c r="Q778">
        <v>0</v>
      </c>
      <c r="T778">
        <v>60</v>
      </c>
    </row>
    <row r="779" spans="1:20" x14ac:dyDescent="0.25">
      <c r="A779">
        <v>779</v>
      </c>
      <c r="B779" s="1" t="s">
        <v>3344</v>
      </c>
      <c r="C779" s="1" t="s">
        <v>3345</v>
      </c>
      <c r="D779" s="1" t="s">
        <v>3346</v>
      </c>
      <c r="E779" s="1"/>
      <c r="F779" s="1"/>
      <c r="G779" s="1" t="s">
        <v>644</v>
      </c>
      <c r="H779" s="1"/>
      <c r="I779" s="1" t="s">
        <v>1059</v>
      </c>
      <c r="J779" s="1" t="s">
        <v>3347</v>
      </c>
      <c r="K779">
        <v>0</v>
      </c>
      <c r="L779">
        <v>1</v>
      </c>
      <c r="M779">
        <v>1923</v>
      </c>
      <c r="N779" s="21">
        <v>44415.628849618057</v>
      </c>
      <c r="O779" s="21">
        <v>44415.628849618057</v>
      </c>
      <c r="P779" s="21"/>
      <c r="Q779">
        <v>0</v>
      </c>
      <c r="T779">
        <v>60</v>
      </c>
    </row>
    <row r="780" spans="1:20" x14ac:dyDescent="0.25">
      <c r="A780">
        <v>780</v>
      </c>
      <c r="B780" s="1" t="s">
        <v>3348</v>
      </c>
      <c r="C780" s="1"/>
      <c r="D780" s="1" t="s">
        <v>3349</v>
      </c>
      <c r="E780" s="1"/>
      <c r="F780" s="1"/>
      <c r="G780" s="1" t="s">
        <v>644</v>
      </c>
      <c r="H780" s="1" t="s">
        <v>3350</v>
      </c>
      <c r="I780" s="1" t="s">
        <v>568</v>
      </c>
      <c r="J780" s="1" t="s">
        <v>641</v>
      </c>
      <c r="K780">
        <v>0</v>
      </c>
      <c r="L780">
        <v>0</v>
      </c>
      <c r="N780" s="21">
        <v>44415.628849618057</v>
      </c>
      <c r="O780" s="21">
        <v>44415.628849618057</v>
      </c>
      <c r="P780" s="21"/>
      <c r="Q780">
        <v>0</v>
      </c>
      <c r="T780">
        <v>60</v>
      </c>
    </row>
    <row r="781" spans="1:20" x14ac:dyDescent="0.25">
      <c r="A781">
        <v>781</v>
      </c>
      <c r="B781" s="1" t="s">
        <v>3351</v>
      </c>
      <c r="C781" s="1" t="s">
        <v>3352</v>
      </c>
      <c r="D781" s="1" t="s">
        <v>3353</v>
      </c>
      <c r="E781" s="1"/>
      <c r="F781" s="1"/>
      <c r="G781" s="1" t="s">
        <v>634</v>
      </c>
      <c r="H781" s="1" t="s">
        <v>3354</v>
      </c>
      <c r="I781" s="1" t="s">
        <v>3355</v>
      </c>
      <c r="J781" s="1" t="s">
        <v>641</v>
      </c>
      <c r="K781">
        <v>0</v>
      </c>
      <c r="L781">
        <v>1</v>
      </c>
      <c r="M781">
        <v>4525</v>
      </c>
      <c r="N781" s="21">
        <v>44415.628849618057</v>
      </c>
      <c r="O781" s="21">
        <v>44415.628849618057</v>
      </c>
      <c r="P781" s="21"/>
      <c r="Q781">
        <v>0</v>
      </c>
      <c r="T781">
        <v>60</v>
      </c>
    </row>
    <row r="782" spans="1:20" x14ac:dyDescent="0.25">
      <c r="A782">
        <v>782</v>
      </c>
      <c r="B782" s="1" t="s">
        <v>3356</v>
      </c>
      <c r="C782" s="1"/>
      <c r="D782" s="1" t="s">
        <v>3357</v>
      </c>
      <c r="E782" s="1"/>
      <c r="F782" s="1"/>
      <c r="G782" s="1"/>
      <c r="H782" s="1" t="s">
        <v>3358</v>
      </c>
      <c r="I782" s="1"/>
      <c r="J782" s="1"/>
      <c r="K782">
        <v>0</v>
      </c>
      <c r="L782">
        <v>0</v>
      </c>
      <c r="N782" s="21">
        <v>44415.628849618057</v>
      </c>
      <c r="O782" s="21">
        <v>44415.628849618057</v>
      </c>
      <c r="P782" s="21"/>
      <c r="Q782">
        <v>0</v>
      </c>
      <c r="T782">
        <v>60</v>
      </c>
    </row>
    <row r="783" spans="1:20" x14ac:dyDescent="0.25">
      <c r="A783">
        <v>783</v>
      </c>
      <c r="B783" s="1" t="s">
        <v>3359</v>
      </c>
      <c r="C783" s="1"/>
      <c r="D783" s="1" t="s">
        <v>3360</v>
      </c>
      <c r="E783" s="1"/>
      <c r="F783" s="1"/>
      <c r="G783" s="1" t="s">
        <v>644</v>
      </c>
      <c r="H783" s="1" t="s">
        <v>3361</v>
      </c>
      <c r="I783" s="1"/>
      <c r="J783" s="1"/>
      <c r="K783">
        <v>0</v>
      </c>
      <c r="L783">
        <v>0</v>
      </c>
      <c r="N783" s="21">
        <v>44415.628849618057</v>
      </c>
      <c r="O783" s="21">
        <v>44415.628849618057</v>
      </c>
      <c r="P783" s="21"/>
      <c r="Q783">
        <v>0</v>
      </c>
      <c r="T783">
        <v>60</v>
      </c>
    </row>
    <row r="784" spans="1:20" x14ac:dyDescent="0.25">
      <c r="A784">
        <v>784</v>
      </c>
      <c r="B784" s="1" t="s">
        <v>3362</v>
      </c>
      <c r="C784" s="1"/>
      <c r="D784" s="1" t="s">
        <v>3363</v>
      </c>
      <c r="E784" s="1"/>
      <c r="F784" s="1"/>
      <c r="G784" s="1" t="s">
        <v>644</v>
      </c>
      <c r="H784" s="1" t="s">
        <v>3364</v>
      </c>
      <c r="I784" s="1"/>
      <c r="J784" s="1"/>
      <c r="K784">
        <v>0</v>
      </c>
      <c r="L784">
        <v>0</v>
      </c>
      <c r="N784" s="21">
        <v>44415.628849618057</v>
      </c>
      <c r="O784" s="21">
        <v>44415.628849618057</v>
      </c>
      <c r="P784" s="21"/>
      <c r="Q784">
        <v>0</v>
      </c>
      <c r="T784">
        <v>60</v>
      </c>
    </row>
    <row r="785" spans="1:20" x14ac:dyDescent="0.25">
      <c r="A785">
        <v>785</v>
      </c>
      <c r="B785" s="1" t="s">
        <v>3365</v>
      </c>
      <c r="C785" s="1" t="s">
        <v>3366</v>
      </c>
      <c r="D785" s="1" t="s">
        <v>3367</v>
      </c>
      <c r="E785" s="1"/>
      <c r="F785" s="1"/>
      <c r="G785" s="1" t="s">
        <v>644</v>
      </c>
      <c r="H785" s="1" t="s">
        <v>3368</v>
      </c>
      <c r="I785" s="1" t="s">
        <v>995</v>
      </c>
      <c r="J785" s="1" t="s">
        <v>641</v>
      </c>
      <c r="K785">
        <v>0</v>
      </c>
      <c r="L785">
        <v>1</v>
      </c>
      <c r="M785">
        <v>1953</v>
      </c>
      <c r="N785" s="21">
        <v>44415.628849618057</v>
      </c>
      <c r="O785" s="21">
        <v>44415.628849618057</v>
      </c>
      <c r="P785" s="21"/>
      <c r="Q785">
        <v>0</v>
      </c>
      <c r="T785">
        <v>60</v>
      </c>
    </row>
    <row r="786" spans="1:20" x14ac:dyDescent="0.25">
      <c r="A786">
        <v>786</v>
      </c>
      <c r="B786" s="1" t="s">
        <v>3369</v>
      </c>
      <c r="C786" s="1" t="s">
        <v>3370</v>
      </c>
      <c r="D786" s="1" t="s">
        <v>3371</v>
      </c>
      <c r="E786" s="1"/>
      <c r="F786" s="1"/>
      <c r="G786" s="1" t="s">
        <v>634</v>
      </c>
      <c r="H786" s="1" t="s">
        <v>3372</v>
      </c>
      <c r="I786" s="1" t="s">
        <v>568</v>
      </c>
      <c r="J786" s="1" t="s">
        <v>641</v>
      </c>
      <c r="K786">
        <v>0</v>
      </c>
      <c r="L786">
        <v>1</v>
      </c>
      <c r="M786">
        <v>140</v>
      </c>
      <c r="N786" s="21">
        <v>44415.628849618057</v>
      </c>
      <c r="O786" s="21">
        <v>44415.628849618057</v>
      </c>
      <c r="P786" s="21"/>
      <c r="Q786">
        <v>0</v>
      </c>
      <c r="T786">
        <v>60</v>
      </c>
    </row>
    <row r="787" spans="1:20" x14ac:dyDescent="0.25">
      <c r="A787">
        <v>787</v>
      </c>
      <c r="B787" s="1" t="s">
        <v>3373</v>
      </c>
      <c r="C787" s="1"/>
      <c r="D787" s="1" t="s">
        <v>3374</v>
      </c>
      <c r="E787" s="1"/>
      <c r="F787" s="1"/>
      <c r="G787" s="1" t="s">
        <v>634</v>
      </c>
      <c r="H787" s="1" t="s">
        <v>3375</v>
      </c>
      <c r="I787" s="1" t="s">
        <v>782</v>
      </c>
      <c r="J787" s="1"/>
      <c r="K787">
        <v>0</v>
      </c>
      <c r="L787">
        <v>0</v>
      </c>
      <c r="N787" s="21">
        <v>44415.628849618057</v>
      </c>
      <c r="O787" s="21">
        <v>44415.628849618057</v>
      </c>
      <c r="P787" s="21"/>
      <c r="Q787">
        <v>0</v>
      </c>
      <c r="T787">
        <v>60</v>
      </c>
    </row>
    <row r="788" spans="1:20" x14ac:dyDescent="0.25">
      <c r="A788">
        <v>788</v>
      </c>
      <c r="B788" s="1" t="s">
        <v>3376</v>
      </c>
      <c r="C788" s="1" t="s">
        <v>3377</v>
      </c>
      <c r="D788" s="1" t="s">
        <v>3378</v>
      </c>
      <c r="E788" s="1"/>
      <c r="F788" s="1" t="s">
        <v>3379</v>
      </c>
      <c r="G788" s="1" t="s">
        <v>644</v>
      </c>
      <c r="H788" s="1" t="s">
        <v>3380</v>
      </c>
      <c r="I788" s="1" t="s">
        <v>995</v>
      </c>
      <c r="J788" s="1" t="s">
        <v>636</v>
      </c>
      <c r="K788">
        <v>0</v>
      </c>
      <c r="L788">
        <v>1</v>
      </c>
      <c r="M788">
        <v>3878</v>
      </c>
      <c r="N788" s="21">
        <v>44415.628849618057</v>
      </c>
      <c r="O788" s="21">
        <v>44415.628849618057</v>
      </c>
      <c r="P788" s="21"/>
      <c r="Q788">
        <v>0</v>
      </c>
      <c r="T788">
        <v>60</v>
      </c>
    </row>
    <row r="789" spans="1:20" x14ac:dyDescent="0.25">
      <c r="A789">
        <v>789</v>
      </c>
      <c r="B789" s="1" t="s">
        <v>3381</v>
      </c>
      <c r="C789" s="1"/>
      <c r="D789" s="1" t="s">
        <v>3382</v>
      </c>
      <c r="E789" s="1"/>
      <c r="F789" s="1"/>
      <c r="G789" s="1" t="s">
        <v>644</v>
      </c>
      <c r="H789" s="1" t="s">
        <v>3383</v>
      </c>
      <c r="I789" s="1" t="s">
        <v>995</v>
      </c>
      <c r="J789" s="1" t="s">
        <v>641</v>
      </c>
      <c r="K789">
        <v>0</v>
      </c>
      <c r="L789">
        <v>0</v>
      </c>
      <c r="N789" s="21">
        <v>44415.628849618057</v>
      </c>
      <c r="O789" s="21">
        <v>44415.628849618057</v>
      </c>
      <c r="P789" s="21"/>
      <c r="Q789">
        <v>0</v>
      </c>
      <c r="T789">
        <v>60</v>
      </c>
    </row>
    <row r="790" spans="1:20" x14ac:dyDescent="0.25">
      <c r="A790">
        <v>790</v>
      </c>
      <c r="B790" s="1" t="s">
        <v>3384</v>
      </c>
      <c r="C790" s="1" t="s">
        <v>3385</v>
      </c>
      <c r="D790" s="1" t="s">
        <v>3386</v>
      </c>
      <c r="E790" s="1"/>
      <c r="F790" s="1"/>
      <c r="G790" s="1" t="s">
        <v>634</v>
      </c>
      <c r="H790" s="1" t="s">
        <v>3387</v>
      </c>
      <c r="I790" s="1" t="s">
        <v>568</v>
      </c>
      <c r="J790" s="1" t="s">
        <v>641</v>
      </c>
      <c r="K790">
        <v>0</v>
      </c>
      <c r="L790">
        <v>1</v>
      </c>
      <c r="M790">
        <v>179</v>
      </c>
      <c r="N790" s="21">
        <v>44415.628849618057</v>
      </c>
      <c r="O790" s="21">
        <v>44415.628849618057</v>
      </c>
      <c r="P790" s="21"/>
      <c r="Q790">
        <v>0</v>
      </c>
      <c r="T790">
        <v>60</v>
      </c>
    </row>
    <row r="791" spans="1:20" x14ac:dyDescent="0.25">
      <c r="A791">
        <v>791</v>
      </c>
      <c r="B791" s="1" t="s">
        <v>3388</v>
      </c>
      <c r="C791" s="1"/>
      <c r="D791" s="1" t="s">
        <v>3389</v>
      </c>
      <c r="E791" s="1"/>
      <c r="F791" s="1"/>
      <c r="G791" s="1" t="s">
        <v>634</v>
      </c>
      <c r="H791" s="1" t="s">
        <v>3390</v>
      </c>
      <c r="I791" s="1"/>
      <c r="J791" s="1"/>
      <c r="K791">
        <v>0</v>
      </c>
      <c r="L791">
        <v>0</v>
      </c>
      <c r="N791" s="21">
        <v>44415.628849618057</v>
      </c>
      <c r="O791" s="21">
        <v>44415.628849618057</v>
      </c>
      <c r="P791" s="21"/>
      <c r="Q791">
        <v>0</v>
      </c>
      <c r="T791">
        <v>60</v>
      </c>
    </row>
    <row r="792" spans="1:20" x14ac:dyDescent="0.25">
      <c r="A792">
        <v>792</v>
      </c>
      <c r="B792" s="1" t="s">
        <v>3391</v>
      </c>
      <c r="C792" s="1"/>
      <c r="D792" s="1" t="s">
        <v>3392</v>
      </c>
      <c r="E792" s="1"/>
      <c r="F792" s="1"/>
      <c r="G792" s="1" t="s">
        <v>634</v>
      </c>
      <c r="H792" s="1" t="s">
        <v>3393</v>
      </c>
      <c r="I792" s="1"/>
      <c r="J792" s="1"/>
      <c r="K792">
        <v>0</v>
      </c>
      <c r="L792">
        <v>0</v>
      </c>
      <c r="N792" s="21">
        <v>44415.628849618057</v>
      </c>
      <c r="O792" s="21">
        <v>44415.628849618057</v>
      </c>
      <c r="P792" s="21"/>
      <c r="Q792">
        <v>0</v>
      </c>
      <c r="T792">
        <v>60</v>
      </c>
    </row>
    <row r="793" spans="1:20" x14ac:dyDescent="0.25">
      <c r="A793">
        <v>793</v>
      </c>
      <c r="B793" s="1" t="s">
        <v>3394</v>
      </c>
      <c r="C793" s="1"/>
      <c r="D793" s="1" t="s">
        <v>3395</v>
      </c>
      <c r="E793" s="1"/>
      <c r="F793" s="1"/>
      <c r="G793" s="1"/>
      <c r="H793" s="1" t="s">
        <v>3396</v>
      </c>
      <c r="I793" s="1"/>
      <c r="J793" s="1"/>
      <c r="K793">
        <v>0</v>
      </c>
      <c r="L793">
        <v>0</v>
      </c>
      <c r="N793" s="21">
        <v>44415.628849618057</v>
      </c>
      <c r="O793" s="21">
        <v>44415.628849618057</v>
      </c>
      <c r="P793" s="21"/>
      <c r="Q793">
        <v>0</v>
      </c>
      <c r="T793">
        <v>60</v>
      </c>
    </row>
    <row r="794" spans="1:20" x14ac:dyDescent="0.25">
      <c r="A794">
        <v>794</v>
      </c>
      <c r="B794" s="1" t="s">
        <v>3397</v>
      </c>
      <c r="C794" s="1"/>
      <c r="D794" s="1" t="s">
        <v>3398</v>
      </c>
      <c r="E794" s="1"/>
      <c r="F794" s="1"/>
      <c r="G794" s="1"/>
      <c r="H794" s="1" t="s">
        <v>3399</v>
      </c>
      <c r="I794" s="1"/>
      <c r="J794" s="1"/>
      <c r="K794">
        <v>0</v>
      </c>
      <c r="L794">
        <v>0</v>
      </c>
      <c r="N794" s="21">
        <v>44415.628849618057</v>
      </c>
      <c r="O794" s="21">
        <v>44415.628849618057</v>
      </c>
      <c r="P794" s="21"/>
      <c r="Q794">
        <v>0</v>
      </c>
      <c r="T794">
        <v>60</v>
      </c>
    </row>
    <row r="795" spans="1:20" x14ac:dyDescent="0.25">
      <c r="A795">
        <v>795</v>
      </c>
      <c r="B795" s="1" t="s">
        <v>3400</v>
      </c>
      <c r="C795" s="1" t="s">
        <v>3401</v>
      </c>
      <c r="D795" s="1" t="s">
        <v>3402</v>
      </c>
      <c r="E795" s="1"/>
      <c r="F795" s="1" t="s">
        <v>3403</v>
      </c>
      <c r="G795" s="1" t="s">
        <v>644</v>
      </c>
      <c r="H795" s="1" t="s">
        <v>3404</v>
      </c>
      <c r="I795" s="1" t="s">
        <v>568</v>
      </c>
      <c r="J795" s="1" t="s">
        <v>636</v>
      </c>
      <c r="K795">
        <v>0</v>
      </c>
      <c r="L795">
        <v>1</v>
      </c>
      <c r="M795">
        <v>182</v>
      </c>
      <c r="N795" s="21">
        <v>44415.628849618057</v>
      </c>
      <c r="O795" s="21">
        <v>44415.628849618057</v>
      </c>
      <c r="P795" s="21"/>
      <c r="Q795">
        <v>0</v>
      </c>
      <c r="T795">
        <v>60</v>
      </c>
    </row>
    <row r="796" spans="1:20" x14ac:dyDescent="0.25">
      <c r="A796">
        <v>796</v>
      </c>
      <c r="B796" s="1" t="s">
        <v>3405</v>
      </c>
      <c r="C796" s="1" t="s">
        <v>3406</v>
      </c>
      <c r="D796" s="1" t="s">
        <v>3407</v>
      </c>
      <c r="E796" s="1"/>
      <c r="F796" s="1"/>
      <c r="G796" s="1" t="s">
        <v>644</v>
      </c>
      <c r="H796" s="1" t="s">
        <v>3408</v>
      </c>
      <c r="I796" s="1" t="s">
        <v>568</v>
      </c>
      <c r="J796" s="1" t="s">
        <v>641</v>
      </c>
      <c r="K796">
        <v>0</v>
      </c>
      <c r="L796">
        <v>1</v>
      </c>
      <c r="M796">
        <v>3833</v>
      </c>
      <c r="N796" s="21">
        <v>44415.628849618057</v>
      </c>
      <c r="O796" s="21">
        <v>44415.628849618057</v>
      </c>
      <c r="P796" s="21"/>
      <c r="Q796">
        <v>0</v>
      </c>
      <c r="T796">
        <v>60</v>
      </c>
    </row>
    <row r="797" spans="1:20" x14ac:dyDescent="0.25">
      <c r="A797">
        <v>797</v>
      </c>
      <c r="B797" s="1" t="s">
        <v>3409</v>
      </c>
      <c r="C797" s="1"/>
      <c r="D797" s="1" t="s">
        <v>3410</v>
      </c>
      <c r="E797" s="1"/>
      <c r="F797" s="1"/>
      <c r="G797" s="1" t="s">
        <v>634</v>
      </c>
      <c r="H797" s="1" t="s">
        <v>3411</v>
      </c>
      <c r="I797" s="1" t="s">
        <v>701</v>
      </c>
      <c r="J797" s="1" t="s">
        <v>641</v>
      </c>
      <c r="K797">
        <v>0</v>
      </c>
      <c r="L797">
        <v>0</v>
      </c>
      <c r="N797" s="21">
        <v>44415.628849618057</v>
      </c>
      <c r="O797" s="21">
        <v>44415.628849618057</v>
      </c>
      <c r="P797" s="21"/>
      <c r="Q797">
        <v>0</v>
      </c>
      <c r="T797">
        <v>60</v>
      </c>
    </row>
    <row r="798" spans="1:20" x14ac:dyDescent="0.25">
      <c r="A798">
        <v>798</v>
      </c>
      <c r="B798" s="1" t="s">
        <v>3412</v>
      </c>
      <c r="C798" s="1"/>
      <c r="D798" s="1" t="s">
        <v>3413</v>
      </c>
      <c r="E798" s="1"/>
      <c r="F798" s="1"/>
      <c r="G798" s="1" t="s">
        <v>644</v>
      </c>
      <c r="H798" s="1" t="s">
        <v>3414</v>
      </c>
      <c r="I798" s="1"/>
      <c r="J798" s="1"/>
      <c r="K798">
        <v>0</v>
      </c>
      <c r="L798">
        <v>0</v>
      </c>
      <c r="N798" s="21">
        <v>44415.628849618057</v>
      </c>
      <c r="O798" s="21">
        <v>44415.628849618057</v>
      </c>
      <c r="P798" s="21"/>
      <c r="Q798">
        <v>0</v>
      </c>
      <c r="T798">
        <v>60</v>
      </c>
    </row>
    <row r="799" spans="1:20" x14ac:dyDescent="0.25">
      <c r="A799">
        <v>799</v>
      </c>
      <c r="B799" s="1" t="s">
        <v>3415</v>
      </c>
      <c r="C799" s="1"/>
      <c r="D799" s="1" t="s">
        <v>3416</v>
      </c>
      <c r="E799" s="1"/>
      <c r="F799" s="1"/>
      <c r="G799" s="1" t="s">
        <v>634</v>
      </c>
      <c r="H799" s="1" t="s">
        <v>3417</v>
      </c>
      <c r="I799" s="1"/>
      <c r="J799" s="1"/>
      <c r="K799">
        <v>0</v>
      </c>
      <c r="L799">
        <v>0</v>
      </c>
      <c r="N799" s="21">
        <v>44415.628849618057</v>
      </c>
      <c r="O799" s="21">
        <v>44415.628849618057</v>
      </c>
      <c r="P799" s="21"/>
      <c r="Q799">
        <v>0</v>
      </c>
      <c r="T799">
        <v>60</v>
      </c>
    </row>
    <row r="800" spans="1:20" x14ac:dyDescent="0.25">
      <c r="A800">
        <v>800</v>
      </c>
      <c r="B800" s="1" t="s">
        <v>3418</v>
      </c>
      <c r="C800" s="1" t="s">
        <v>3419</v>
      </c>
      <c r="D800" s="1" t="s">
        <v>3420</v>
      </c>
      <c r="E800" s="1"/>
      <c r="F800" s="1"/>
      <c r="G800" s="1" t="s">
        <v>634</v>
      </c>
      <c r="H800" s="1" t="s">
        <v>3421</v>
      </c>
      <c r="I800" s="1" t="s">
        <v>568</v>
      </c>
      <c r="J800" s="1" t="s">
        <v>636</v>
      </c>
      <c r="K800">
        <v>0</v>
      </c>
      <c r="L800">
        <v>1</v>
      </c>
      <c r="M800">
        <v>188</v>
      </c>
      <c r="N800" s="21">
        <v>44415.628849618057</v>
      </c>
      <c r="O800" s="21">
        <v>44415.628849618057</v>
      </c>
      <c r="P800" s="21"/>
      <c r="Q800">
        <v>0</v>
      </c>
      <c r="T800">
        <v>60</v>
      </c>
    </row>
    <row r="801" spans="1:20" x14ac:dyDescent="0.25">
      <c r="A801">
        <v>801</v>
      </c>
      <c r="B801" s="1" t="s">
        <v>3422</v>
      </c>
      <c r="C801" s="1" t="s">
        <v>3423</v>
      </c>
      <c r="D801" s="1" t="s">
        <v>3424</v>
      </c>
      <c r="E801" s="1"/>
      <c r="F801" s="1"/>
      <c r="G801" s="1" t="s">
        <v>644</v>
      </c>
      <c r="H801" s="1" t="s">
        <v>3425</v>
      </c>
      <c r="I801" s="1" t="s">
        <v>568</v>
      </c>
      <c r="J801" s="1" t="s">
        <v>636</v>
      </c>
      <c r="K801">
        <v>0</v>
      </c>
      <c r="L801">
        <v>1</v>
      </c>
      <c r="M801">
        <v>2091</v>
      </c>
      <c r="N801" s="21">
        <v>44415.628849618057</v>
      </c>
      <c r="O801" s="21">
        <v>44415.628849618057</v>
      </c>
      <c r="P801" s="21"/>
      <c r="Q801">
        <v>0</v>
      </c>
      <c r="T801">
        <v>60</v>
      </c>
    </row>
    <row r="802" spans="1:20" x14ac:dyDescent="0.25">
      <c r="A802">
        <v>802</v>
      </c>
      <c r="B802" s="1" t="s">
        <v>3426</v>
      </c>
      <c r="C802" s="1"/>
      <c r="D802" s="1" t="s">
        <v>3427</v>
      </c>
      <c r="E802" s="1"/>
      <c r="F802" s="1"/>
      <c r="G802" s="1" t="s">
        <v>644</v>
      </c>
      <c r="H802" s="1" t="s">
        <v>3428</v>
      </c>
      <c r="I802" s="1"/>
      <c r="J802" s="1"/>
      <c r="K802">
        <v>0</v>
      </c>
      <c r="L802">
        <v>0</v>
      </c>
      <c r="N802" s="21">
        <v>44415.628849618057</v>
      </c>
      <c r="O802" s="21">
        <v>44415.628849618057</v>
      </c>
      <c r="P802" s="21"/>
      <c r="Q802">
        <v>0</v>
      </c>
      <c r="T802">
        <v>60</v>
      </c>
    </row>
    <row r="803" spans="1:20" x14ac:dyDescent="0.25">
      <c r="A803">
        <v>803</v>
      </c>
      <c r="B803" s="1" t="s">
        <v>3429</v>
      </c>
      <c r="C803" s="1" t="s">
        <v>3430</v>
      </c>
      <c r="D803" s="1" t="s">
        <v>3431</v>
      </c>
      <c r="E803" s="1"/>
      <c r="F803" s="1"/>
      <c r="G803" s="1" t="s">
        <v>634</v>
      </c>
      <c r="H803" s="1" t="s">
        <v>3432</v>
      </c>
      <c r="I803" s="1" t="s">
        <v>568</v>
      </c>
      <c r="J803" s="1" t="s">
        <v>636</v>
      </c>
      <c r="K803">
        <v>0</v>
      </c>
      <c r="L803">
        <v>1</v>
      </c>
      <c r="M803">
        <v>158</v>
      </c>
      <c r="N803" s="21">
        <v>44415.628849618057</v>
      </c>
      <c r="O803" s="21">
        <v>44415.628849618057</v>
      </c>
      <c r="P803" s="21"/>
      <c r="Q803">
        <v>0</v>
      </c>
      <c r="T803">
        <v>60</v>
      </c>
    </row>
    <row r="804" spans="1:20" x14ac:dyDescent="0.25">
      <c r="A804">
        <v>804</v>
      </c>
      <c r="B804" s="1" t="s">
        <v>3433</v>
      </c>
      <c r="C804" s="1"/>
      <c r="D804" s="1" t="s">
        <v>3434</v>
      </c>
      <c r="E804" s="1"/>
      <c r="F804" s="1"/>
      <c r="G804" s="1"/>
      <c r="H804" s="1" t="s">
        <v>3435</v>
      </c>
      <c r="I804" s="1"/>
      <c r="J804" s="1"/>
      <c r="K804">
        <v>0</v>
      </c>
      <c r="L804">
        <v>1</v>
      </c>
      <c r="N804" s="21">
        <v>44415.628849618057</v>
      </c>
      <c r="O804" s="21">
        <v>44415.628849618057</v>
      </c>
      <c r="P804" s="21"/>
      <c r="Q804">
        <v>0</v>
      </c>
      <c r="T804">
        <v>60</v>
      </c>
    </row>
    <row r="805" spans="1:20" x14ac:dyDescent="0.25">
      <c r="A805">
        <v>805</v>
      </c>
      <c r="B805" s="1" t="s">
        <v>3436</v>
      </c>
      <c r="C805" s="1"/>
      <c r="D805" s="1" t="s">
        <v>3437</v>
      </c>
      <c r="E805" s="1"/>
      <c r="F805" s="1"/>
      <c r="G805" s="1"/>
      <c r="H805" s="1" t="s">
        <v>3438</v>
      </c>
      <c r="I805" s="1"/>
      <c r="J805" s="1"/>
      <c r="K805">
        <v>0</v>
      </c>
      <c r="L805">
        <v>0</v>
      </c>
      <c r="N805" s="21">
        <v>44415.628849618057</v>
      </c>
      <c r="O805" s="21">
        <v>44415.628849618057</v>
      </c>
      <c r="P805" s="21"/>
      <c r="Q805">
        <v>0</v>
      </c>
      <c r="T805">
        <v>60</v>
      </c>
    </row>
    <row r="806" spans="1:20" x14ac:dyDescent="0.25">
      <c r="A806">
        <v>806</v>
      </c>
      <c r="B806" s="1" t="s">
        <v>3439</v>
      </c>
      <c r="C806" s="1"/>
      <c r="D806" s="1" t="s">
        <v>3440</v>
      </c>
      <c r="E806" s="1"/>
      <c r="F806" s="1"/>
      <c r="G806" s="1" t="s">
        <v>634</v>
      </c>
      <c r="H806" s="1" t="s">
        <v>3441</v>
      </c>
      <c r="I806" s="1" t="s">
        <v>568</v>
      </c>
      <c r="J806" s="1" t="s">
        <v>3442</v>
      </c>
      <c r="K806">
        <v>0</v>
      </c>
      <c r="L806">
        <v>0</v>
      </c>
      <c r="N806" s="21">
        <v>44415.628849618057</v>
      </c>
      <c r="O806" s="21">
        <v>44415.628849618057</v>
      </c>
      <c r="P806" s="21"/>
      <c r="Q806">
        <v>0</v>
      </c>
      <c r="T806">
        <v>60</v>
      </c>
    </row>
    <row r="807" spans="1:20" x14ac:dyDescent="0.25">
      <c r="A807">
        <v>807</v>
      </c>
      <c r="B807" s="1" t="s">
        <v>3443</v>
      </c>
      <c r="C807" s="1"/>
      <c r="D807" s="1" t="s">
        <v>3444</v>
      </c>
      <c r="E807" s="1"/>
      <c r="F807" s="1"/>
      <c r="G807" s="1" t="s">
        <v>644</v>
      </c>
      <c r="H807" s="1" t="s">
        <v>3445</v>
      </c>
      <c r="I807" s="1"/>
      <c r="J807" s="1"/>
      <c r="K807">
        <v>0</v>
      </c>
      <c r="L807">
        <v>0</v>
      </c>
      <c r="N807" s="21">
        <v>44415.628849618057</v>
      </c>
      <c r="O807" s="21">
        <v>44415.628849618057</v>
      </c>
      <c r="P807" s="21"/>
      <c r="Q807">
        <v>0</v>
      </c>
      <c r="T807">
        <v>60</v>
      </c>
    </row>
    <row r="808" spans="1:20" x14ac:dyDescent="0.25">
      <c r="A808">
        <v>808</v>
      </c>
      <c r="B808" s="1" t="s">
        <v>3446</v>
      </c>
      <c r="C808" s="1"/>
      <c r="D808" s="1" t="s">
        <v>3447</v>
      </c>
      <c r="E808" s="1"/>
      <c r="F808" s="1"/>
      <c r="G808" s="1" t="s">
        <v>634</v>
      </c>
      <c r="H808" s="1" t="s">
        <v>3448</v>
      </c>
      <c r="I808" s="1" t="s">
        <v>568</v>
      </c>
      <c r="J808" s="1" t="s">
        <v>641</v>
      </c>
      <c r="K808">
        <v>0</v>
      </c>
      <c r="L808">
        <v>0</v>
      </c>
      <c r="N808" s="21">
        <v>44415.628849618057</v>
      </c>
      <c r="O808" s="21">
        <v>44415.628849618057</v>
      </c>
      <c r="P808" s="21"/>
      <c r="Q808">
        <v>0</v>
      </c>
      <c r="T808">
        <v>60</v>
      </c>
    </row>
    <row r="809" spans="1:20" x14ac:dyDescent="0.25">
      <c r="A809">
        <v>809</v>
      </c>
      <c r="B809" s="1" t="s">
        <v>3449</v>
      </c>
      <c r="C809" s="1" t="s">
        <v>3450</v>
      </c>
      <c r="D809" s="1" t="s">
        <v>3451</v>
      </c>
      <c r="E809" s="1"/>
      <c r="F809" s="1"/>
      <c r="G809" s="1" t="s">
        <v>644</v>
      </c>
      <c r="H809" s="1" t="s">
        <v>3452</v>
      </c>
      <c r="I809" s="1" t="s">
        <v>568</v>
      </c>
      <c r="J809" s="1" t="s">
        <v>636</v>
      </c>
      <c r="K809">
        <v>0</v>
      </c>
      <c r="L809">
        <v>1</v>
      </c>
      <c r="M809">
        <v>151</v>
      </c>
      <c r="N809" s="21">
        <v>44415.628849618057</v>
      </c>
      <c r="O809" s="21">
        <v>44415.628849618057</v>
      </c>
      <c r="P809" s="21"/>
      <c r="Q809">
        <v>0</v>
      </c>
      <c r="T809">
        <v>60</v>
      </c>
    </row>
    <row r="810" spans="1:20" x14ac:dyDescent="0.25">
      <c r="A810">
        <v>810</v>
      </c>
      <c r="B810" s="1" t="s">
        <v>3453</v>
      </c>
      <c r="C810" s="1"/>
      <c r="D810" s="1" t="s">
        <v>3454</v>
      </c>
      <c r="E810" s="1"/>
      <c r="F810" s="1"/>
      <c r="G810" s="1" t="s">
        <v>644</v>
      </c>
      <c r="H810" s="1" t="s">
        <v>3455</v>
      </c>
      <c r="I810" s="1" t="s">
        <v>995</v>
      </c>
      <c r="J810" s="1" t="s">
        <v>641</v>
      </c>
      <c r="K810">
        <v>0</v>
      </c>
      <c r="L810">
        <v>0</v>
      </c>
      <c r="N810" s="21">
        <v>44415.628849618057</v>
      </c>
      <c r="O810" s="21">
        <v>44415.628849618057</v>
      </c>
      <c r="P810" s="21"/>
      <c r="Q810">
        <v>0</v>
      </c>
      <c r="T810">
        <v>60</v>
      </c>
    </row>
    <row r="811" spans="1:20" x14ac:dyDescent="0.25">
      <c r="A811">
        <v>811</v>
      </c>
      <c r="B811" s="1" t="s">
        <v>3456</v>
      </c>
      <c r="C811" s="1"/>
      <c r="D811" s="1" t="s">
        <v>3457</v>
      </c>
      <c r="E811" s="1"/>
      <c r="F811" s="1"/>
      <c r="G811" s="1" t="s">
        <v>644</v>
      </c>
      <c r="H811" s="1" t="s">
        <v>3458</v>
      </c>
      <c r="I811" s="1" t="s">
        <v>995</v>
      </c>
      <c r="J811" s="1" t="s">
        <v>641</v>
      </c>
      <c r="K811">
        <v>0</v>
      </c>
      <c r="L811">
        <v>0</v>
      </c>
      <c r="N811" s="21">
        <v>44415.628849618057</v>
      </c>
      <c r="O811" s="21">
        <v>44415.628849618057</v>
      </c>
      <c r="P811" s="21"/>
      <c r="Q811">
        <v>0</v>
      </c>
      <c r="T811">
        <v>60</v>
      </c>
    </row>
    <row r="812" spans="1:20" x14ac:dyDescent="0.25">
      <c r="A812">
        <v>812</v>
      </c>
      <c r="B812" s="1" t="s">
        <v>3459</v>
      </c>
      <c r="C812" s="1"/>
      <c r="D812" s="1" t="s">
        <v>3460</v>
      </c>
      <c r="E812" s="1"/>
      <c r="F812" s="1"/>
      <c r="G812" s="1"/>
      <c r="H812" s="1" t="s">
        <v>3461</v>
      </c>
      <c r="I812" s="1"/>
      <c r="J812" s="1"/>
      <c r="K812">
        <v>0</v>
      </c>
      <c r="L812">
        <v>0</v>
      </c>
      <c r="N812" s="21">
        <v>44415.628849618057</v>
      </c>
      <c r="O812" s="21">
        <v>44415.628849618057</v>
      </c>
      <c r="P812" s="21"/>
      <c r="Q812">
        <v>0</v>
      </c>
      <c r="T812">
        <v>60</v>
      </c>
    </row>
    <row r="813" spans="1:20" x14ac:dyDescent="0.25">
      <c r="A813">
        <v>813</v>
      </c>
      <c r="B813" s="1" t="s">
        <v>3462</v>
      </c>
      <c r="C813" s="1" t="s">
        <v>3463</v>
      </c>
      <c r="D813" s="1" t="s">
        <v>3464</v>
      </c>
      <c r="E813" s="1"/>
      <c r="F813" s="1"/>
      <c r="G813" s="1" t="s">
        <v>634</v>
      </c>
      <c r="H813" s="1" t="s">
        <v>3465</v>
      </c>
      <c r="I813" s="1" t="s">
        <v>975</v>
      </c>
      <c r="J813" s="1" t="s">
        <v>641</v>
      </c>
      <c r="K813">
        <v>0</v>
      </c>
      <c r="L813">
        <v>1</v>
      </c>
      <c r="M813">
        <v>5060</v>
      </c>
      <c r="N813" s="21">
        <v>44415.628849618057</v>
      </c>
      <c r="O813" s="21">
        <v>44415.628849618057</v>
      </c>
      <c r="P813" s="21"/>
      <c r="Q813">
        <v>0</v>
      </c>
      <c r="T813">
        <v>60</v>
      </c>
    </row>
    <row r="814" spans="1:20" x14ac:dyDescent="0.25">
      <c r="A814">
        <v>814</v>
      </c>
      <c r="B814" s="1" t="s">
        <v>3466</v>
      </c>
      <c r="C814" s="1"/>
      <c r="D814" s="1" t="s">
        <v>3467</v>
      </c>
      <c r="E814" s="1"/>
      <c r="F814" s="1"/>
      <c r="G814" s="1" t="s">
        <v>634</v>
      </c>
      <c r="H814" s="1" t="s">
        <v>3468</v>
      </c>
      <c r="I814" s="1" t="s">
        <v>568</v>
      </c>
      <c r="J814" s="1" t="s">
        <v>641</v>
      </c>
      <c r="K814">
        <v>0</v>
      </c>
      <c r="L814">
        <v>0</v>
      </c>
      <c r="N814" s="21">
        <v>44415.628849618057</v>
      </c>
      <c r="O814" s="21">
        <v>44415.628849618057</v>
      </c>
      <c r="P814" s="21"/>
      <c r="Q814">
        <v>0</v>
      </c>
      <c r="T814">
        <v>60</v>
      </c>
    </row>
    <row r="815" spans="1:20" x14ac:dyDescent="0.25">
      <c r="A815">
        <v>815</v>
      </c>
      <c r="B815" s="1" t="s">
        <v>3469</v>
      </c>
      <c r="C815" s="1"/>
      <c r="D815" s="1" t="s">
        <v>3470</v>
      </c>
      <c r="E815" s="1"/>
      <c r="F815" s="1"/>
      <c r="G815" s="1" t="s">
        <v>634</v>
      </c>
      <c r="H815" s="1" t="s">
        <v>3471</v>
      </c>
      <c r="I815" s="1" t="s">
        <v>568</v>
      </c>
      <c r="J815" s="1" t="s">
        <v>641</v>
      </c>
      <c r="K815">
        <v>0</v>
      </c>
      <c r="L815">
        <v>1</v>
      </c>
      <c r="N815" s="21">
        <v>44415.628849618057</v>
      </c>
      <c r="O815" s="21">
        <v>44415.628849618057</v>
      </c>
      <c r="P815" s="21"/>
      <c r="Q815">
        <v>0</v>
      </c>
      <c r="T815">
        <v>60</v>
      </c>
    </row>
    <row r="816" spans="1:20" x14ac:dyDescent="0.25">
      <c r="A816">
        <v>816</v>
      </c>
      <c r="B816" s="1" t="s">
        <v>3472</v>
      </c>
      <c r="C816" s="1"/>
      <c r="D816" s="1" t="s">
        <v>3473</v>
      </c>
      <c r="E816" s="1"/>
      <c r="F816" s="1"/>
      <c r="G816" s="1" t="s">
        <v>634</v>
      </c>
      <c r="H816" s="1" t="s">
        <v>3474</v>
      </c>
      <c r="I816" s="1"/>
      <c r="J816" s="1"/>
      <c r="K816">
        <v>0</v>
      </c>
      <c r="L816">
        <v>0</v>
      </c>
      <c r="N816" s="21">
        <v>44415.628849618057</v>
      </c>
      <c r="O816" s="21">
        <v>44415.628849618057</v>
      </c>
      <c r="P816" s="21"/>
      <c r="Q816">
        <v>0</v>
      </c>
      <c r="T816">
        <v>60</v>
      </c>
    </row>
    <row r="817" spans="1:20" x14ac:dyDescent="0.25">
      <c r="A817">
        <v>817</v>
      </c>
      <c r="B817" s="1" t="s">
        <v>3475</v>
      </c>
      <c r="C817" s="1"/>
      <c r="D817" s="1" t="s">
        <v>3476</v>
      </c>
      <c r="E817" s="1"/>
      <c r="F817" s="1"/>
      <c r="G817" s="1" t="s">
        <v>644</v>
      </c>
      <c r="H817" s="1" t="s">
        <v>3477</v>
      </c>
      <c r="I817" s="1" t="s">
        <v>568</v>
      </c>
      <c r="J817" s="1" t="s">
        <v>641</v>
      </c>
      <c r="K817">
        <v>0</v>
      </c>
      <c r="L817">
        <v>0</v>
      </c>
      <c r="N817" s="21">
        <v>44415.628849618057</v>
      </c>
      <c r="O817" s="21">
        <v>44415.628849618057</v>
      </c>
      <c r="P817" s="21"/>
      <c r="Q817">
        <v>0</v>
      </c>
      <c r="T817">
        <v>60</v>
      </c>
    </row>
    <row r="818" spans="1:20" x14ac:dyDescent="0.25">
      <c r="A818">
        <v>818</v>
      </c>
      <c r="B818" s="1" t="s">
        <v>3478</v>
      </c>
      <c r="C818" s="1" t="s">
        <v>3479</v>
      </c>
      <c r="D818" s="1" t="s">
        <v>3480</v>
      </c>
      <c r="E818" s="1"/>
      <c r="F818" s="1"/>
      <c r="G818" s="1" t="s">
        <v>634</v>
      </c>
      <c r="H818" s="1" t="s">
        <v>3481</v>
      </c>
      <c r="I818" s="1" t="s">
        <v>568</v>
      </c>
      <c r="J818" s="1" t="s">
        <v>636</v>
      </c>
      <c r="K818">
        <v>0</v>
      </c>
      <c r="L818">
        <v>1</v>
      </c>
      <c r="M818">
        <v>5573</v>
      </c>
      <c r="N818" s="21">
        <v>44415.628849618057</v>
      </c>
      <c r="O818" s="21">
        <v>44415.628849618057</v>
      </c>
      <c r="P818" s="21"/>
      <c r="Q818">
        <v>0</v>
      </c>
      <c r="T818">
        <v>60</v>
      </c>
    </row>
    <row r="819" spans="1:20" x14ac:dyDescent="0.25">
      <c r="A819">
        <v>819</v>
      </c>
      <c r="B819" s="1" t="s">
        <v>3482</v>
      </c>
      <c r="C819" s="1"/>
      <c r="D819" s="1" t="s">
        <v>3483</v>
      </c>
      <c r="E819" s="1"/>
      <c r="F819" s="1"/>
      <c r="G819" s="1" t="s">
        <v>644</v>
      </c>
      <c r="H819" s="1" t="s">
        <v>3484</v>
      </c>
      <c r="I819" s="1" t="s">
        <v>568</v>
      </c>
      <c r="J819" s="1" t="s">
        <v>636</v>
      </c>
      <c r="K819">
        <v>0</v>
      </c>
      <c r="L819">
        <v>0</v>
      </c>
      <c r="N819" s="21">
        <v>44415.628849618057</v>
      </c>
      <c r="O819" s="21">
        <v>44415.628849618057</v>
      </c>
      <c r="P819" s="21"/>
      <c r="Q819">
        <v>0</v>
      </c>
      <c r="T819">
        <v>60</v>
      </c>
    </row>
    <row r="820" spans="1:20" x14ac:dyDescent="0.25">
      <c r="A820">
        <v>820</v>
      </c>
      <c r="B820" s="1" t="s">
        <v>3485</v>
      </c>
      <c r="C820" s="1"/>
      <c r="D820" s="1" t="s">
        <v>3486</v>
      </c>
      <c r="E820" s="1"/>
      <c r="F820" s="1"/>
      <c r="G820" s="1" t="s">
        <v>713</v>
      </c>
      <c r="H820" s="1" t="s">
        <v>3487</v>
      </c>
      <c r="I820" s="1"/>
      <c r="J820" s="1"/>
      <c r="K820">
        <v>0</v>
      </c>
      <c r="L820">
        <v>0</v>
      </c>
      <c r="N820" s="21">
        <v>44415.628849618057</v>
      </c>
      <c r="O820" s="21">
        <v>44415.628849618057</v>
      </c>
      <c r="P820" s="21"/>
      <c r="Q820">
        <v>0</v>
      </c>
      <c r="T820">
        <v>60</v>
      </c>
    </row>
    <row r="821" spans="1:20" x14ac:dyDescent="0.25">
      <c r="A821">
        <v>821</v>
      </c>
      <c r="B821" s="1" t="s">
        <v>3488</v>
      </c>
      <c r="C821" s="1" t="s">
        <v>3489</v>
      </c>
      <c r="D821" s="1" t="s">
        <v>3490</v>
      </c>
      <c r="E821" s="1"/>
      <c r="F821" s="1"/>
      <c r="G821" s="1" t="s">
        <v>634</v>
      </c>
      <c r="H821" s="1" t="s">
        <v>3491</v>
      </c>
      <c r="I821" s="1" t="s">
        <v>568</v>
      </c>
      <c r="J821" s="1" t="s">
        <v>641</v>
      </c>
      <c r="K821">
        <v>0</v>
      </c>
      <c r="L821">
        <v>1</v>
      </c>
      <c r="M821">
        <v>4923</v>
      </c>
      <c r="N821" s="21">
        <v>44415.628849618057</v>
      </c>
      <c r="O821" s="21">
        <v>44415.628849618057</v>
      </c>
      <c r="P821" s="21"/>
      <c r="Q821">
        <v>0</v>
      </c>
      <c r="T821">
        <v>60</v>
      </c>
    </row>
    <row r="822" spans="1:20" x14ac:dyDescent="0.25">
      <c r="A822">
        <v>822</v>
      </c>
      <c r="B822" s="1" t="s">
        <v>3492</v>
      </c>
      <c r="C822" s="1"/>
      <c r="D822" s="1" t="s">
        <v>3493</v>
      </c>
      <c r="E822" s="1"/>
      <c r="F822" s="1"/>
      <c r="G822" s="1" t="s">
        <v>644</v>
      </c>
      <c r="H822" s="1" t="s">
        <v>3494</v>
      </c>
      <c r="I822" s="1"/>
      <c r="J822" s="1"/>
      <c r="K822">
        <v>0</v>
      </c>
      <c r="L822">
        <v>0</v>
      </c>
      <c r="N822" s="21">
        <v>44415.628849618057</v>
      </c>
      <c r="O822" s="21">
        <v>44415.628849618057</v>
      </c>
      <c r="P822" s="21"/>
      <c r="Q822">
        <v>0</v>
      </c>
      <c r="T822">
        <v>60</v>
      </c>
    </row>
    <row r="823" spans="1:20" x14ac:dyDescent="0.25">
      <c r="A823">
        <v>823</v>
      </c>
      <c r="B823" s="1" t="s">
        <v>3495</v>
      </c>
      <c r="C823" s="1" t="s">
        <v>3496</v>
      </c>
      <c r="D823" s="1" t="s">
        <v>3497</v>
      </c>
      <c r="E823" s="1"/>
      <c r="F823" s="1"/>
      <c r="G823" s="1" t="s">
        <v>713</v>
      </c>
      <c r="H823" s="1" t="s">
        <v>3498</v>
      </c>
      <c r="I823" s="1"/>
      <c r="J823" s="1" t="s">
        <v>641</v>
      </c>
      <c r="K823">
        <v>1</v>
      </c>
      <c r="L823">
        <v>0</v>
      </c>
      <c r="N823" s="21">
        <v>44415.628849618057</v>
      </c>
      <c r="O823" s="21">
        <v>44415.628849618057</v>
      </c>
      <c r="P823" s="21"/>
      <c r="Q823">
        <v>0</v>
      </c>
      <c r="T823">
        <v>60</v>
      </c>
    </row>
    <row r="824" spans="1:20" x14ac:dyDescent="0.25">
      <c r="A824">
        <v>824</v>
      </c>
      <c r="B824" s="1" t="s">
        <v>3499</v>
      </c>
      <c r="C824" s="1"/>
      <c r="D824" s="1" t="s">
        <v>3500</v>
      </c>
      <c r="E824" s="1"/>
      <c r="F824" s="1"/>
      <c r="G824" s="1" t="s">
        <v>634</v>
      </c>
      <c r="H824" s="1" t="s">
        <v>3501</v>
      </c>
      <c r="I824" s="1"/>
      <c r="J824" s="1"/>
      <c r="K824">
        <v>0</v>
      </c>
      <c r="L824">
        <v>0</v>
      </c>
      <c r="N824" s="21">
        <v>44415.628849618057</v>
      </c>
      <c r="O824" s="21">
        <v>44415.628849618057</v>
      </c>
      <c r="P824" s="21"/>
      <c r="Q824">
        <v>0</v>
      </c>
      <c r="T824">
        <v>60</v>
      </c>
    </row>
    <row r="825" spans="1:20" x14ac:dyDescent="0.25">
      <c r="A825">
        <v>825</v>
      </c>
      <c r="B825" s="1" t="s">
        <v>3502</v>
      </c>
      <c r="C825" s="1" t="s">
        <v>3503</v>
      </c>
      <c r="D825" s="1" t="s">
        <v>3504</v>
      </c>
      <c r="E825" s="1"/>
      <c r="F825" s="1"/>
      <c r="G825" s="1" t="s">
        <v>634</v>
      </c>
      <c r="H825" s="1" t="s">
        <v>3505</v>
      </c>
      <c r="I825" s="1" t="s">
        <v>568</v>
      </c>
      <c r="J825" s="1" t="s">
        <v>641</v>
      </c>
      <c r="K825">
        <v>0</v>
      </c>
      <c r="L825">
        <v>1</v>
      </c>
      <c r="M825">
        <v>4447</v>
      </c>
      <c r="N825" s="21">
        <v>44415.628849618057</v>
      </c>
      <c r="O825" s="21">
        <v>44415.628849618057</v>
      </c>
      <c r="P825" s="21"/>
      <c r="Q825">
        <v>0</v>
      </c>
      <c r="T825">
        <v>60</v>
      </c>
    </row>
    <row r="826" spans="1:20" x14ac:dyDescent="0.25">
      <c r="A826">
        <v>826</v>
      </c>
      <c r="B826" s="1" t="s">
        <v>3506</v>
      </c>
      <c r="C826" s="1" t="s">
        <v>3507</v>
      </c>
      <c r="D826" s="1" t="s">
        <v>3508</v>
      </c>
      <c r="E826" s="1" t="s">
        <v>3506</v>
      </c>
      <c r="F826" s="1"/>
      <c r="G826" s="1" t="s">
        <v>713</v>
      </c>
      <c r="H826" s="1" t="s">
        <v>3509</v>
      </c>
      <c r="I826" s="1"/>
      <c r="J826" s="1" t="s">
        <v>641</v>
      </c>
      <c r="K826">
        <v>1</v>
      </c>
      <c r="L826">
        <v>0</v>
      </c>
      <c r="N826" s="21">
        <v>44415.628849618057</v>
      </c>
      <c r="O826" s="21">
        <v>44415.628849618057</v>
      </c>
      <c r="P826" s="21"/>
      <c r="Q826">
        <v>0</v>
      </c>
      <c r="T826">
        <v>60</v>
      </c>
    </row>
    <row r="827" spans="1:20" x14ac:dyDescent="0.25">
      <c r="A827">
        <v>827</v>
      </c>
      <c r="B827" s="1" t="s">
        <v>3510</v>
      </c>
      <c r="C827" s="1"/>
      <c r="D827" s="1" t="s">
        <v>3511</v>
      </c>
      <c r="E827" s="1"/>
      <c r="F827" s="1"/>
      <c r="G827" s="1" t="s">
        <v>644</v>
      </c>
      <c r="H827" s="1" t="s">
        <v>3512</v>
      </c>
      <c r="I827" s="1" t="s">
        <v>568</v>
      </c>
      <c r="J827" s="1" t="s">
        <v>641</v>
      </c>
      <c r="K827">
        <v>0</v>
      </c>
      <c r="L827">
        <v>0</v>
      </c>
      <c r="N827" s="21">
        <v>44415.628849618057</v>
      </c>
      <c r="O827" s="21">
        <v>44415.628849618057</v>
      </c>
      <c r="P827" s="21"/>
      <c r="Q827">
        <v>0</v>
      </c>
      <c r="T827">
        <v>60</v>
      </c>
    </row>
    <row r="828" spans="1:20" x14ac:dyDescent="0.25">
      <c r="A828">
        <v>828</v>
      </c>
      <c r="B828" s="1" t="s">
        <v>3513</v>
      </c>
      <c r="C828" s="1"/>
      <c r="D828" s="1" t="s">
        <v>3514</v>
      </c>
      <c r="E828" s="1"/>
      <c r="F828" s="1"/>
      <c r="G828" s="1" t="s">
        <v>634</v>
      </c>
      <c r="H828" s="1" t="s">
        <v>3515</v>
      </c>
      <c r="I828" s="1"/>
      <c r="J828" s="1"/>
      <c r="K828">
        <v>0</v>
      </c>
      <c r="L828">
        <v>0</v>
      </c>
      <c r="N828" s="21">
        <v>44415.628849618057</v>
      </c>
      <c r="O828" s="21">
        <v>44415.628849618057</v>
      </c>
      <c r="P828" s="21"/>
      <c r="Q828">
        <v>0</v>
      </c>
      <c r="T828">
        <v>60</v>
      </c>
    </row>
    <row r="829" spans="1:20" x14ac:dyDescent="0.25">
      <c r="A829">
        <v>829</v>
      </c>
      <c r="B829" s="1" t="s">
        <v>3516</v>
      </c>
      <c r="C829" s="1"/>
      <c r="D829" s="1" t="s">
        <v>3517</v>
      </c>
      <c r="E829" s="1"/>
      <c r="F829" s="1"/>
      <c r="G829" s="1" t="s">
        <v>644</v>
      </c>
      <c r="H829" s="1" t="s">
        <v>3518</v>
      </c>
      <c r="I829" s="1"/>
      <c r="J829" s="1"/>
      <c r="K829">
        <v>0</v>
      </c>
      <c r="L829">
        <v>0</v>
      </c>
      <c r="N829" s="21">
        <v>44415.628849618057</v>
      </c>
      <c r="O829" s="21">
        <v>44415.628849618057</v>
      </c>
      <c r="P829" s="21"/>
      <c r="Q829">
        <v>0</v>
      </c>
      <c r="T829">
        <v>60</v>
      </c>
    </row>
    <row r="830" spans="1:20" x14ac:dyDescent="0.25">
      <c r="A830">
        <v>830</v>
      </c>
      <c r="B830" s="1" t="s">
        <v>3519</v>
      </c>
      <c r="C830" s="1"/>
      <c r="D830" s="1" t="s">
        <v>3520</v>
      </c>
      <c r="E830" s="1"/>
      <c r="F830" s="1"/>
      <c r="G830" s="1" t="s">
        <v>634</v>
      </c>
      <c r="H830" s="1" t="s">
        <v>3521</v>
      </c>
      <c r="I830" s="1" t="s">
        <v>568</v>
      </c>
      <c r="J830" s="1"/>
      <c r="K830">
        <v>0</v>
      </c>
      <c r="L830">
        <v>0</v>
      </c>
      <c r="N830" s="21">
        <v>44415.628849618057</v>
      </c>
      <c r="O830" s="21">
        <v>44415.628849618057</v>
      </c>
      <c r="P830" s="21"/>
      <c r="Q830">
        <v>0</v>
      </c>
      <c r="T830">
        <v>60</v>
      </c>
    </row>
    <row r="831" spans="1:20" x14ac:dyDescent="0.25">
      <c r="A831">
        <v>831</v>
      </c>
      <c r="B831" s="1" t="s">
        <v>3522</v>
      </c>
      <c r="C831" s="1"/>
      <c r="D831" s="1" t="s">
        <v>3523</v>
      </c>
      <c r="E831" s="1"/>
      <c r="F831" s="1"/>
      <c r="G831" s="1" t="s">
        <v>634</v>
      </c>
      <c r="H831" s="1" t="s">
        <v>3524</v>
      </c>
      <c r="I831" s="1"/>
      <c r="J831" s="1" t="s">
        <v>641</v>
      </c>
      <c r="K831">
        <v>0</v>
      </c>
      <c r="L831">
        <v>0</v>
      </c>
      <c r="N831" s="21">
        <v>44415.628849618057</v>
      </c>
      <c r="O831" s="21">
        <v>44415.628849618057</v>
      </c>
      <c r="P831" s="21"/>
      <c r="Q831">
        <v>0</v>
      </c>
      <c r="T831">
        <v>60</v>
      </c>
    </row>
    <row r="832" spans="1:20" x14ac:dyDescent="0.25">
      <c r="A832">
        <v>832</v>
      </c>
      <c r="B832" s="1" t="s">
        <v>3525</v>
      </c>
      <c r="C832" s="1" t="s">
        <v>3526</v>
      </c>
      <c r="D832" s="1" t="s">
        <v>3527</v>
      </c>
      <c r="E832" s="1"/>
      <c r="F832" s="1"/>
      <c r="G832" s="1" t="s">
        <v>634</v>
      </c>
      <c r="H832" s="1" t="s">
        <v>3528</v>
      </c>
      <c r="I832" s="1" t="s">
        <v>568</v>
      </c>
      <c r="J832" s="1" t="s">
        <v>3529</v>
      </c>
      <c r="K832">
        <v>0</v>
      </c>
      <c r="L832">
        <v>1</v>
      </c>
      <c r="M832">
        <v>4939</v>
      </c>
      <c r="N832" s="21">
        <v>44415.628849618057</v>
      </c>
      <c r="O832" s="21">
        <v>44415.628849618057</v>
      </c>
      <c r="P832" s="21"/>
      <c r="Q832">
        <v>0</v>
      </c>
      <c r="T832">
        <v>60</v>
      </c>
    </row>
    <row r="833" spans="1:20" x14ac:dyDescent="0.25">
      <c r="A833">
        <v>833</v>
      </c>
      <c r="B833" s="1" t="s">
        <v>3530</v>
      </c>
      <c r="C833" s="1"/>
      <c r="D833" s="1" t="s">
        <v>3531</v>
      </c>
      <c r="E833" s="1"/>
      <c r="F833" s="1"/>
      <c r="G833" s="1" t="s">
        <v>634</v>
      </c>
      <c r="H833" s="1" t="s">
        <v>3532</v>
      </c>
      <c r="I833" s="1" t="s">
        <v>782</v>
      </c>
      <c r="J833" s="1" t="s">
        <v>641</v>
      </c>
      <c r="K833">
        <v>0</v>
      </c>
      <c r="L833">
        <v>0</v>
      </c>
      <c r="N833" s="21">
        <v>44415.628849618057</v>
      </c>
      <c r="O833" s="21">
        <v>44415.628849618057</v>
      </c>
      <c r="P833" s="21"/>
      <c r="Q833">
        <v>0</v>
      </c>
      <c r="T833">
        <v>60</v>
      </c>
    </row>
    <row r="834" spans="1:20" x14ac:dyDescent="0.25">
      <c r="A834">
        <v>834</v>
      </c>
      <c r="B834" s="1" t="s">
        <v>3533</v>
      </c>
      <c r="C834" s="1"/>
      <c r="D834" s="1" t="s">
        <v>3534</v>
      </c>
      <c r="E834" s="1"/>
      <c r="F834" s="1"/>
      <c r="G834" s="1" t="s">
        <v>713</v>
      </c>
      <c r="H834" s="1" t="s">
        <v>3535</v>
      </c>
      <c r="I834" s="1"/>
      <c r="J834" s="1" t="s">
        <v>641</v>
      </c>
      <c r="K834">
        <v>0</v>
      </c>
      <c r="L834">
        <v>0</v>
      </c>
      <c r="N834" s="21">
        <v>44415.628849618057</v>
      </c>
      <c r="O834" s="21">
        <v>44415.628849618057</v>
      </c>
      <c r="P834" s="21"/>
      <c r="Q834">
        <v>0</v>
      </c>
      <c r="T834">
        <v>60</v>
      </c>
    </row>
    <row r="835" spans="1:20" x14ac:dyDescent="0.25">
      <c r="A835">
        <v>835</v>
      </c>
      <c r="B835" s="1" t="s">
        <v>3536</v>
      </c>
      <c r="C835" s="1"/>
      <c r="D835" s="1" t="s">
        <v>3537</v>
      </c>
      <c r="E835" s="1"/>
      <c r="F835" s="1"/>
      <c r="G835" s="1" t="s">
        <v>634</v>
      </c>
      <c r="H835" s="1" t="s">
        <v>3538</v>
      </c>
      <c r="I835" s="1" t="s">
        <v>568</v>
      </c>
      <c r="J835" s="1" t="s">
        <v>636</v>
      </c>
      <c r="K835">
        <v>0</v>
      </c>
      <c r="L835">
        <v>1</v>
      </c>
      <c r="N835" s="21">
        <v>44415.628849618057</v>
      </c>
      <c r="O835" s="21">
        <v>44415.628849618057</v>
      </c>
      <c r="P835" s="21"/>
      <c r="Q835">
        <v>0</v>
      </c>
      <c r="T835">
        <v>60</v>
      </c>
    </row>
    <row r="836" spans="1:20" x14ac:dyDescent="0.25">
      <c r="A836">
        <v>836</v>
      </c>
      <c r="B836" s="1" t="s">
        <v>3539</v>
      </c>
      <c r="C836" s="1"/>
      <c r="D836" s="1" t="s">
        <v>3540</v>
      </c>
      <c r="E836" s="1"/>
      <c r="F836" s="1"/>
      <c r="G836" s="1" t="s">
        <v>634</v>
      </c>
      <c r="H836" s="1" t="s">
        <v>3541</v>
      </c>
      <c r="I836" s="1" t="s">
        <v>568</v>
      </c>
      <c r="J836" s="1" t="s">
        <v>3542</v>
      </c>
      <c r="K836">
        <v>0</v>
      </c>
      <c r="L836">
        <v>0</v>
      </c>
      <c r="N836" s="21">
        <v>44415.628849618057</v>
      </c>
      <c r="O836" s="21">
        <v>44415.628849618057</v>
      </c>
      <c r="P836" s="21"/>
      <c r="Q836">
        <v>0</v>
      </c>
      <c r="T836">
        <v>60</v>
      </c>
    </row>
    <row r="837" spans="1:20" x14ac:dyDescent="0.25">
      <c r="A837">
        <v>837</v>
      </c>
      <c r="B837" s="1" t="s">
        <v>3543</v>
      </c>
      <c r="C837" s="1"/>
      <c r="D837" s="1" t="s">
        <v>3544</v>
      </c>
      <c r="E837" s="1"/>
      <c r="F837" s="1" t="s">
        <v>3545</v>
      </c>
      <c r="G837" s="1" t="s">
        <v>634</v>
      </c>
      <c r="H837" s="1" t="s">
        <v>3546</v>
      </c>
      <c r="I837" s="1" t="s">
        <v>568</v>
      </c>
      <c r="J837" s="1" t="s">
        <v>3547</v>
      </c>
      <c r="K837">
        <v>0</v>
      </c>
      <c r="L837">
        <v>0</v>
      </c>
      <c r="N837" s="21">
        <v>44415.628849618057</v>
      </c>
      <c r="O837" s="21">
        <v>44415.628849618057</v>
      </c>
      <c r="P837" s="21"/>
      <c r="Q837">
        <v>0</v>
      </c>
      <c r="T837">
        <v>60</v>
      </c>
    </row>
    <row r="838" spans="1:20" x14ac:dyDescent="0.25">
      <c r="A838">
        <v>838</v>
      </c>
      <c r="B838" s="1" t="s">
        <v>3548</v>
      </c>
      <c r="C838" s="1" t="s">
        <v>3549</v>
      </c>
      <c r="D838" s="1" t="s">
        <v>3550</v>
      </c>
      <c r="E838" s="1"/>
      <c r="F838" s="1"/>
      <c r="G838" s="1" t="s">
        <v>644</v>
      </c>
      <c r="H838" s="1" t="s">
        <v>3551</v>
      </c>
      <c r="I838" s="1" t="s">
        <v>568</v>
      </c>
      <c r="J838" s="1" t="s">
        <v>636</v>
      </c>
      <c r="K838">
        <v>0</v>
      </c>
      <c r="L838">
        <v>1</v>
      </c>
      <c r="M838">
        <v>63</v>
      </c>
      <c r="N838" s="21">
        <v>44415.628849618057</v>
      </c>
      <c r="O838" s="21">
        <v>44415.628849618057</v>
      </c>
      <c r="P838" s="21"/>
      <c r="Q838">
        <v>0</v>
      </c>
      <c r="T838">
        <v>60</v>
      </c>
    </row>
    <row r="839" spans="1:20" x14ac:dyDescent="0.25">
      <c r="A839">
        <v>839</v>
      </c>
      <c r="B839" s="1" t="s">
        <v>3552</v>
      </c>
      <c r="C839" s="1"/>
      <c r="D839" s="1" t="s">
        <v>3553</v>
      </c>
      <c r="E839" s="1"/>
      <c r="F839" s="1"/>
      <c r="G839" s="1"/>
      <c r="H839" s="1" t="s">
        <v>3554</v>
      </c>
      <c r="I839" s="1"/>
      <c r="J839" s="1"/>
      <c r="K839">
        <v>0</v>
      </c>
      <c r="L839">
        <v>0</v>
      </c>
      <c r="N839" s="21">
        <v>44415.628849618057</v>
      </c>
      <c r="O839" s="21">
        <v>44415.628849618057</v>
      </c>
      <c r="P839" s="21"/>
      <c r="Q839">
        <v>0</v>
      </c>
      <c r="T839">
        <v>60</v>
      </c>
    </row>
    <row r="840" spans="1:20" x14ac:dyDescent="0.25">
      <c r="A840">
        <v>840</v>
      </c>
      <c r="B840" s="1" t="s">
        <v>3555</v>
      </c>
      <c r="C840" s="1"/>
      <c r="D840" s="1" t="s">
        <v>3556</v>
      </c>
      <c r="E840" s="1"/>
      <c r="F840" s="1"/>
      <c r="G840" s="1"/>
      <c r="H840" s="1" t="s">
        <v>3557</v>
      </c>
      <c r="I840" s="1"/>
      <c r="J840" s="1"/>
      <c r="K840">
        <v>0</v>
      </c>
      <c r="L840">
        <v>0</v>
      </c>
      <c r="N840" s="21">
        <v>44415.628849618057</v>
      </c>
      <c r="O840" s="21">
        <v>44415.628849618057</v>
      </c>
      <c r="P840" s="21"/>
      <c r="Q840">
        <v>0</v>
      </c>
      <c r="T840">
        <v>60</v>
      </c>
    </row>
    <row r="841" spans="1:20" x14ac:dyDescent="0.25">
      <c r="A841">
        <v>841</v>
      </c>
      <c r="B841" s="1" t="s">
        <v>3558</v>
      </c>
      <c r="C841" s="1" t="s">
        <v>3559</v>
      </c>
      <c r="D841" s="1" t="s">
        <v>3560</v>
      </c>
      <c r="E841" s="1"/>
      <c r="F841" s="1"/>
      <c r="G841" s="1" t="s">
        <v>634</v>
      </c>
      <c r="H841" s="1" t="s">
        <v>3561</v>
      </c>
      <c r="I841" s="1" t="s">
        <v>568</v>
      </c>
      <c r="J841" s="1" t="s">
        <v>636</v>
      </c>
      <c r="K841">
        <v>0</v>
      </c>
      <c r="L841">
        <v>1</v>
      </c>
      <c r="M841">
        <v>3809</v>
      </c>
      <c r="N841" s="21">
        <v>44415.628849618057</v>
      </c>
      <c r="O841" s="21">
        <v>44415.628849618057</v>
      </c>
      <c r="P841" s="21"/>
      <c r="Q841">
        <v>0</v>
      </c>
      <c r="T841">
        <v>60</v>
      </c>
    </row>
    <row r="842" spans="1:20" x14ac:dyDescent="0.25">
      <c r="A842">
        <v>842</v>
      </c>
      <c r="B842" s="1" t="s">
        <v>3562</v>
      </c>
      <c r="C842" s="1" t="s">
        <v>3563</v>
      </c>
      <c r="D842" s="1" t="s">
        <v>3564</v>
      </c>
      <c r="E842" s="1"/>
      <c r="F842" s="1"/>
      <c r="G842" s="1" t="s">
        <v>644</v>
      </c>
      <c r="H842" s="1" t="s">
        <v>3565</v>
      </c>
      <c r="I842" s="1" t="s">
        <v>995</v>
      </c>
      <c r="J842" s="1" t="s">
        <v>641</v>
      </c>
      <c r="K842">
        <v>0</v>
      </c>
      <c r="L842">
        <v>1</v>
      </c>
      <c r="M842">
        <v>4547</v>
      </c>
      <c r="N842" s="21">
        <v>44415.628849618057</v>
      </c>
      <c r="O842" s="21">
        <v>44415.628849618057</v>
      </c>
      <c r="P842" s="21"/>
      <c r="Q842">
        <v>0</v>
      </c>
      <c r="T842">
        <v>60</v>
      </c>
    </row>
    <row r="843" spans="1:20" x14ac:dyDescent="0.25">
      <c r="A843">
        <v>843</v>
      </c>
      <c r="B843" s="1" t="s">
        <v>3566</v>
      </c>
      <c r="C843" s="1"/>
      <c r="D843" s="1" t="s">
        <v>3567</v>
      </c>
      <c r="E843" s="1"/>
      <c r="F843" s="1"/>
      <c r="G843" s="1" t="s">
        <v>634</v>
      </c>
      <c r="H843" s="1" t="s">
        <v>3568</v>
      </c>
      <c r="I843" s="1" t="s">
        <v>568</v>
      </c>
      <c r="J843" s="1" t="s">
        <v>641</v>
      </c>
      <c r="K843">
        <v>0</v>
      </c>
      <c r="L843">
        <v>0</v>
      </c>
      <c r="N843" s="21">
        <v>44415.628849618057</v>
      </c>
      <c r="O843" s="21">
        <v>44415.628849618057</v>
      </c>
      <c r="P843" s="21"/>
      <c r="Q843">
        <v>0</v>
      </c>
      <c r="T843">
        <v>60</v>
      </c>
    </row>
    <row r="844" spans="1:20" x14ac:dyDescent="0.25">
      <c r="A844">
        <v>844</v>
      </c>
      <c r="B844" s="1" t="s">
        <v>3569</v>
      </c>
      <c r="C844" s="1"/>
      <c r="D844" s="1" t="s">
        <v>3570</v>
      </c>
      <c r="E844" s="1"/>
      <c r="F844" s="1"/>
      <c r="G844" s="1"/>
      <c r="H844" s="1" t="s">
        <v>3571</v>
      </c>
      <c r="I844" s="1"/>
      <c r="J844" s="1" t="s">
        <v>3572</v>
      </c>
      <c r="K844">
        <v>0</v>
      </c>
      <c r="L844">
        <v>0</v>
      </c>
      <c r="N844" s="21">
        <v>44415.628849618057</v>
      </c>
      <c r="O844" s="21">
        <v>44415.628849618057</v>
      </c>
      <c r="P844" s="21"/>
      <c r="Q844">
        <v>0</v>
      </c>
      <c r="T844">
        <v>60</v>
      </c>
    </row>
    <row r="845" spans="1:20" x14ac:dyDescent="0.25">
      <c r="A845">
        <v>845</v>
      </c>
      <c r="B845" s="1" t="s">
        <v>3573</v>
      </c>
      <c r="C845" s="1" t="s">
        <v>3574</v>
      </c>
      <c r="D845" s="1" t="s">
        <v>3575</v>
      </c>
      <c r="E845" s="1"/>
      <c r="F845" s="1"/>
      <c r="G845" s="1" t="s">
        <v>713</v>
      </c>
      <c r="H845" s="1" t="s">
        <v>3576</v>
      </c>
      <c r="I845" s="1"/>
      <c r="J845" s="1" t="s">
        <v>636</v>
      </c>
      <c r="K845">
        <v>1</v>
      </c>
      <c r="L845">
        <v>0</v>
      </c>
      <c r="N845" s="21">
        <v>44415.628849618057</v>
      </c>
      <c r="O845" s="21">
        <v>44415.628849618057</v>
      </c>
      <c r="P845" s="21"/>
      <c r="Q845">
        <v>0</v>
      </c>
      <c r="T845">
        <v>60</v>
      </c>
    </row>
    <row r="846" spans="1:20" x14ac:dyDescent="0.25">
      <c r="A846">
        <v>846</v>
      </c>
      <c r="B846" s="1" t="s">
        <v>3577</v>
      </c>
      <c r="C846" s="1"/>
      <c r="D846" s="1" t="s">
        <v>3578</v>
      </c>
      <c r="E846" s="1"/>
      <c r="F846" s="1" t="s">
        <v>3579</v>
      </c>
      <c r="G846" s="1" t="s">
        <v>726</v>
      </c>
      <c r="H846" s="1" t="s">
        <v>3580</v>
      </c>
      <c r="I846" s="1" t="s">
        <v>568</v>
      </c>
      <c r="J846" s="1"/>
      <c r="K846">
        <v>0</v>
      </c>
      <c r="L846">
        <v>0</v>
      </c>
      <c r="N846" s="21">
        <v>44415.628849618057</v>
      </c>
      <c r="O846" s="21">
        <v>44415.628849618057</v>
      </c>
      <c r="P846" s="21"/>
      <c r="Q846">
        <v>0</v>
      </c>
      <c r="T846">
        <v>60</v>
      </c>
    </row>
    <row r="847" spans="1:20" x14ac:dyDescent="0.25">
      <c r="A847">
        <v>847</v>
      </c>
      <c r="B847" s="1" t="s">
        <v>3581</v>
      </c>
      <c r="C847" s="1"/>
      <c r="D847" s="1" t="s">
        <v>3582</v>
      </c>
      <c r="E847" s="1"/>
      <c r="F847" s="1" t="s">
        <v>3583</v>
      </c>
      <c r="G847" s="1" t="s">
        <v>713</v>
      </c>
      <c r="H847" s="1" t="s">
        <v>3584</v>
      </c>
      <c r="I847" s="1"/>
      <c r="J847" s="1" t="s">
        <v>636</v>
      </c>
      <c r="K847">
        <v>0</v>
      </c>
      <c r="L847">
        <v>0</v>
      </c>
      <c r="N847" s="21">
        <v>44415.628849618057</v>
      </c>
      <c r="O847" s="21">
        <v>44415.628849618057</v>
      </c>
      <c r="P847" s="21"/>
      <c r="Q847">
        <v>0</v>
      </c>
      <c r="T847">
        <v>60</v>
      </c>
    </row>
    <row r="848" spans="1:20" x14ac:dyDescent="0.25">
      <c r="A848">
        <v>848</v>
      </c>
      <c r="B848" s="1" t="s">
        <v>3585</v>
      </c>
      <c r="C848" s="1"/>
      <c r="D848" s="1" t="s">
        <v>3586</v>
      </c>
      <c r="E848" s="1"/>
      <c r="F848" s="1"/>
      <c r="G848" s="1" t="s">
        <v>713</v>
      </c>
      <c r="H848" s="1" t="s">
        <v>3587</v>
      </c>
      <c r="I848" s="1"/>
      <c r="J848" s="1" t="s">
        <v>636</v>
      </c>
      <c r="K848">
        <v>0</v>
      </c>
      <c r="L848">
        <v>0</v>
      </c>
      <c r="N848" s="21">
        <v>44415.628849618057</v>
      </c>
      <c r="O848" s="21">
        <v>44415.628849618057</v>
      </c>
      <c r="P848" s="21"/>
      <c r="Q848">
        <v>0</v>
      </c>
      <c r="T848">
        <v>60</v>
      </c>
    </row>
    <row r="849" spans="1:20" x14ac:dyDescent="0.25">
      <c r="A849">
        <v>849</v>
      </c>
      <c r="B849" s="1" t="s">
        <v>3588</v>
      </c>
      <c r="C849" s="1"/>
      <c r="D849" s="1" t="s">
        <v>3589</v>
      </c>
      <c r="E849" s="1"/>
      <c r="F849" s="1"/>
      <c r="G849" s="1"/>
      <c r="H849" s="1" t="s">
        <v>3590</v>
      </c>
      <c r="I849" s="1"/>
      <c r="J849" s="1"/>
      <c r="K849">
        <v>0</v>
      </c>
      <c r="L849">
        <v>0</v>
      </c>
      <c r="N849" s="21">
        <v>44415.628849618057</v>
      </c>
      <c r="O849" s="21">
        <v>44415.628849618057</v>
      </c>
      <c r="P849" s="21"/>
      <c r="Q849">
        <v>0</v>
      </c>
      <c r="T849">
        <v>60</v>
      </c>
    </row>
    <row r="850" spans="1:20" x14ac:dyDescent="0.25">
      <c r="A850">
        <v>850</v>
      </c>
      <c r="B850" s="1" t="s">
        <v>3591</v>
      </c>
      <c r="C850" s="1"/>
      <c r="D850" s="1" t="s">
        <v>3592</v>
      </c>
      <c r="E850" s="1"/>
      <c r="F850" s="1"/>
      <c r="G850" s="1" t="s">
        <v>713</v>
      </c>
      <c r="H850" s="1" t="s">
        <v>3593</v>
      </c>
      <c r="I850" s="1"/>
      <c r="J850" s="1" t="s">
        <v>636</v>
      </c>
      <c r="K850">
        <v>0</v>
      </c>
      <c r="L850">
        <v>0</v>
      </c>
      <c r="N850" s="21">
        <v>44415.628849618057</v>
      </c>
      <c r="O850" s="21">
        <v>44415.628849618057</v>
      </c>
      <c r="P850" s="21"/>
      <c r="Q850">
        <v>0</v>
      </c>
      <c r="T850">
        <v>60</v>
      </c>
    </row>
    <row r="851" spans="1:20" x14ac:dyDescent="0.25">
      <c r="A851">
        <v>851</v>
      </c>
      <c r="B851" s="1" t="s">
        <v>3594</v>
      </c>
      <c r="C851" s="1" t="s">
        <v>3595</v>
      </c>
      <c r="D851" s="1" t="s">
        <v>3596</v>
      </c>
      <c r="E851" s="1"/>
      <c r="F851" s="1" t="s">
        <v>3597</v>
      </c>
      <c r="G851" s="1" t="s">
        <v>713</v>
      </c>
      <c r="H851" s="1" t="s">
        <v>3598</v>
      </c>
      <c r="I851" s="1" t="s">
        <v>568</v>
      </c>
      <c r="J851" s="1" t="s">
        <v>636</v>
      </c>
      <c r="K851">
        <v>1</v>
      </c>
      <c r="L851">
        <v>0</v>
      </c>
      <c r="N851" s="21">
        <v>44415.628849618057</v>
      </c>
      <c r="O851" s="21">
        <v>44415.628849618057</v>
      </c>
      <c r="P851" s="21"/>
      <c r="Q851">
        <v>0</v>
      </c>
      <c r="T851">
        <v>60</v>
      </c>
    </row>
    <row r="852" spans="1:20" x14ac:dyDescent="0.25">
      <c r="A852">
        <v>852</v>
      </c>
      <c r="B852" s="1" t="s">
        <v>3599</v>
      </c>
      <c r="C852" s="1" t="s">
        <v>3600</v>
      </c>
      <c r="D852" s="1" t="s">
        <v>3601</v>
      </c>
      <c r="E852" s="1" t="s">
        <v>3599</v>
      </c>
      <c r="F852" s="1" t="s">
        <v>3602</v>
      </c>
      <c r="G852" s="1" t="s">
        <v>713</v>
      </c>
      <c r="H852" s="1" t="s">
        <v>3603</v>
      </c>
      <c r="I852" s="1" t="s">
        <v>568</v>
      </c>
      <c r="J852" s="1" t="s">
        <v>636</v>
      </c>
      <c r="K852">
        <v>1</v>
      </c>
      <c r="L852">
        <v>0</v>
      </c>
      <c r="N852" s="21">
        <v>44415.628849618057</v>
      </c>
      <c r="O852" s="21">
        <v>44415.628849618057</v>
      </c>
      <c r="P852" s="21"/>
      <c r="Q852">
        <v>0</v>
      </c>
      <c r="T852">
        <v>60</v>
      </c>
    </row>
    <row r="853" spans="1:20" x14ac:dyDescent="0.25">
      <c r="A853">
        <v>853</v>
      </c>
      <c r="B853" s="1" t="s">
        <v>3604</v>
      </c>
      <c r="C853" s="1" t="s">
        <v>3605</v>
      </c>
      <c r="D853" s="1" t="s">
        <v>3606</v>
      </c>
      <c r="E853" s="1" t="s">
        <v>3607</v>
      </c>
      <c r="F853" s="1"/>
      <c r="G853" s="1" t="s">
        <v>713</v>
      </c>
      <c r="H853" s="1" t="s">
        <v>3608</v>
      </c>
      <c r="I853" s="1"/>
      <c r="J853" s="1" t="s">
        <v>636</v>
      </c>
      <c r="K853">
        <v>1</v>
      </c>
      <c r="L853">
        <v>0</v>
      </c>
      <c r="N853" s="21">
        <v>44415.628849618057</v>
      </c>
      <c r="O853" s="21">
        <v>44415.628849618057</v>
      </c>
      <c r="P853" s="21"/>
      <c r="Q853">
        <v>0</v>
      </c>
      <c r="T853">
        <v>60</v>
      </c>
    </row>
    <row r="854" spans="1:20" x14ac:dyDescent="0.25">
      <c r="A854">
        <v>854</v>
      </c>
      <c r="B854" s="1" t="s">
        <v>3609</v>
      </c>
      <c r="C854" s="1" t="s">
        <v>3610</v>
      </c>
      <c r="D854" s="1" t="s">
        <v>3611</v>
      </c>
      <c r="E854" s="1"/>
      <c r="F854" s="1" t="s">
        <v>3612</v>
      </c>
      <c r="G854" s="1" t="s">
        <v>713</v>
      </c>
      <c r="H854" s="1" t="s">
        <v>3613</v>
      </c>
      <c r="I854" s="1"/>
      <c r="J854" s="1" t="s">
        <v>641</v>
      </c>
      <c r="K854">
        <v>1</v>
      </c>
      <c r="L854">
        <v>0</v>
      </c>
      <c r="N854" s="21">
        <v>44415.628849618057</v>
      </c>
      <c r="O854" s="21">
        <v>44415.628849618057</v>
      </c>
      <c r="P854" s="21"/>
      <c r="Q854">
        <v>0</v>
      </c>
      <c r="T854">
        <v>60</v>
      </c>
    </row>
    <row r="855" spans="1:20" x14ac:dyDescent="0.25">
      <c r="A855">
        <v>855</v>
      </c>
      <c r="B855" s="1" t="s">
        <v>3614</v>
      </c>
      <c r="C855" s="1"/>
      <c r="D855" s="1" t="s">
        <v>3615</v>
      </c>
      <c r="E855" s="1" t="s">
        <v>3614</v>
      </c>
      <c r="F855" s="1" t="s">
        <v>3616</v>
      </c>
      <c r="G855" s="1" t="s">
        <v>713</v>
      </c>
      <c r="H855" s="1" t="s">
        <v>3617</v>
      </c>
      <c r="I855" s="1"/>
      <c r="J855" s="1"/>
      <c r="K855">
        <v>0</v>
      </c>
      <c r="L855">
        <v>0</v>
      </c>
      <c r="N855" s="21">
        <v>44415.628849618057</v>
      </c>
      <c r="O855" s="21">
        <v>44415.628849618057</v>
      </c>
      <c r="P855" s="21"/>
      <c r="Q855">
        <v>0</v>
      </c>
      <c r="T855">
        <v>60</v>
      </c>
    </row>
    <row r="856" spans="1:20" x14ac:dyDescent="0.25">
      <c r="A856">
        <v>856</v>
      </c>
      <c r="B856" s="1" t="s">
        <v>3618</v>
      </c>
      <c r="C856" s="1" t="s">
        <v>3619</v>
      </c>
      <c r="D856" s="1" t="s">
        <v>3620</v>
      </c>
      <c r="E856" s="1"/>
      <c r="F856" s="1" t="s">
        <v>3621</v>
      </c>
      <c r="G856" s="1" t="s">
        <v>713</v>
      </c>
      <c r="H856" s="1" t="s">
        <v>3622</v>
      </c>
      <c r="I856" s="1"/>
      <c r="J856" s="1" t="s">
        <v>641</v>
      </c>
      <c r="K856">
        <v>1</v>
      </c>
      <c r="L856">
        <v>0</v>
      </c>
      <c r="N856" s="21">
        <v>44415.628849618057</v>
      </c>
      <c r="O856" s="21">
        <v>44415.628849618057</v>
      </c>
      <c r="P856" s="21"/>
      <c r="Q856">
        <v>0</v>
      </c>
      <c r="T856">
        <v>60</v>
      </c>
    </row>
    <row r="857" spans="1:20" x14ac:dyDescent="0.25">
      <c r="A857">
        <v>857</v>
      </c>
      <c r="B857" s="1" t="s">
        <v>3623</v>
      </c>
      <c r="C857" s="1"/>
      <c r="D857" s="1" t="s">
        <v>3624</v>
      </c>
      <c r="E857" s="1"/>
      <c r="F857" s="1"/>
      <c r="G857" s="1"/>
      <c r="H857" s="1" t="s">
        <v>3625</v>
      </c>
      <c r="I857" s="1"/>
      <c r="J857" s="1"/>
      <c r="K857">
        <v>0</v>
      </c>
      <c r="L857">
        <v>0</v>
      </c>
      <c r="N857" s="21">
        <v>44415.628849618057</v>
      </c>
      <c r="O857" s="21">
        <v>44415.628849618057</v>
      </c>
      <c r="P857" s="21"/>
      <c r="Q857">
        <v>0</v>
      </c>
      <c r="T857">
        <v>60</v>
      </c>
    </row>
    <row r="858" spans="1:20" x14ac:dyDescent="0.25">
      <c r="A858">
        <v>858</v>
      </c>
      <c r="B858" s="1" t="s">
        <v>3626</v>
      </c>
      <c r="C858" s="1" t="s">
        <v>3627</v>
      </c>
      <c r="D858" s="1" t="s">
        <v>3628</v>
      </c>
      <c r="E858" s="1"/>
      <c r="F858" s="1"/>
      <c r="G858" s="1" t="s">
        <v>713</v>
      </c>
      <c r="H858" s="1" t="s">
        <v>3629</v>
      </c>
      <c r="I858" s="1"/>
      <c r="J858" s="1" t="s">
        <v>636</v>
      </c>
      <c r="K858">
        <v>1</v>
      </c>
      <c r="L858">
        <v>0</v>
      </c>
      <c r="N858" s="21">
        <v>44415.628849618057</v>
      </c>
      <c r="O858" s="21">
        <v>44415.628849618057</v>
      </c>
      <c r="P858" s="21"/>
      <c r="Q858">
        <v>0</v>
      </c>
      <c r="T858">
        <v>60</v>
      </c>
    </row>
    <row r="859" spans="1:20" x14ac:dyDescent="0.25">
      <c r="A859">
        <v>859</v>
      </c>
      <c r="B859" s="1" t="s">
        <v>3630</v>
      </c>
      <c r="C859" s="1" t="s">
        <v>3631</v>
      </c>
      <c r="D859" s="1" t="s">
        <v>3632</v>
      </c>
      <c r="E859" s="1"/>
      <c r="F859" s="1"/>
      <c r="G859" s="1" t="s">
        <v>713</v>
      </c>
      <c r="H859" s="1" t="s">
        <v>3633</v>
      </c>
      <c r="I859" s="1"/>
      <c r="J859" s="1" t="s">
        <v>641</v>
      </c>
      <c r="K859">
        <v>1</v>
      </c>
      <c r="L859">
        <v>0</v>
      </c>
      <c r="N859" s="21">
        <v>44415.628849618057</v>
      </c>
      <c r="O859" s="21">
        <v>44415.628849618057</v>
      </c>
      <c r="P859" s="21"/>
      <c r="Q859">
        <v>0</v>
      </c>
      <c r="T859">
        <v>60</v>
      </c>
    </row>
    <row r="860" spans="1:20" x14ac:dyDescent="0.25">
      <c r="A860">
        <v>860</v>
      </c>
      <c r="B860" s="1" t="s">
        <v>3634</v>
      </c>
      <c r="C860" s="1"/>
      <c r="D860" s="1" t="s">
        <v>3635</v>
      </c>
      <c r="E860" s="1"/>
      <c r="F860" s="1"/>
      <c r="G860" s="1" t="s">
        <v>644</v>
      </c>
      <c r="H860" s="1" t="s">
        <v>3636</v>
      </c>
      <c r="I860" s="1" t="s">
        <v>995</v>
      </c>
      <c r="J860" s="1"/>
      <c r="K860">
        <v>0</v>
      </c>
      <c r="L860">
        <v>0</v>
      </c>
      <c r="N860" s="21">
        <v>44415.628849618057</v>
      </c>
      <c r="O860" s="21">
        <v>44415.628849618057</v>
      </c>
      <c r="P860" s="21"/>
      <c r="Q860">
        <v>0</v>
      </c>
      <c r="T860">
        <v>60</v>
      </c>
    </row>
    <row r="861" spans="1:20" x14ac:dyDescent="0.25">
      <c r="A861">
        <v>861</v>
      </c>
      <c r="B861" s="1" t="s">
        <v>3637</v>
      </c>
      <c r="C861" s="1"/>
      <c r="D861" s="1" t="s">
        <v>3638</v>
      </c>
      <c r="E861" s="1"/>
      <c r="F861" s="1" t="s">
        <v>3639</v>
      </c>
      <c r="G861" s="1" t="s">
        <v>634</v>
      </c>
      <c r="H861" s="1" t="s">
        <v>3640</v>
      </c>
      <c r="I861" s="1" t="s">
        <v>690</v>
      </c>
      <c r="J861" s="1" t="s">
        <v>1807</v>
      </c>
      <c r="K861">
        <v>0</v>
      </c>
      <c r="L861">
        <v>0</v>
      </c>
      <c r="N861" s="21">
        <v>44415.628849618057</v>
      </c>
      <c r="O861" s="21">
        <v>44415.628849618057</v>
      </c>
      <c r="P861" s="21"/>
      <c r="Q861">
        <v>0</v>
      </c>
      <c r="T861">
        <v>60</v>
      </c>
    </row>
    <row r="862" spans="1:20" x14ac:dyDescent="0.25">
      <c r="A862">
        <v>862</v>
      </c>
      <c r="B862" s="1" t="s">
        <v>3641</v>
      </c>
      <c r="C862" s="1"/>
      <c r="D862" s="1" t="s">
        <v>3642</v>
      </c>
      <c r="E862" s="1"/>
      <c r="F862" s="1"/>
      <c r="G862" s="1" t="s">
        <v>644</v>
      </c>
      <c r="H862" s="1" t="s">
        <v>3643</v>
      </c>
      <c r="I862" s="1"/>
      <c r="J862" s="1"/>
      <c r="K862">
        <v>0</v>
      </c>
      <c r="L862">
        <v>1</v>
      </c>
      <c r="M862">
        <v>184</v>
      </c>
      <c r="N862" s="21">
        <v>44415.628849618057</v>
      </c>
      <c r="O862" s="21">
        <v>44415.628849618057</v>
      </c>
      <c r="P862" s="21"/>
      <c r="Q862">
        <v>0</v>
      </c>
      <c r="T862">
        <v>60</v>
      </c>
    </row>
    <row r="863" spans="1:20" x14ac:dyDescent="0.25">
      <c r="A863">
        <v>863</v>
      </c>
      <c r="B863" s="1" t="s">
        <v>3641</v>
      </c>
      <c r="C863" s="1" t="s">
        <v>3644</v>
      </c>
      <c r="D863" s="1" t="s">
        <v>3642</v>
      </c>
      <c r="E863" s="1" t="s">
        <v>3645</v>
      </c>
      <c r="F863" s="1"/>
      <c r="G863" s="1" t="s">
        <v>644</v>
      </c>
      <c r="H863" s="1" t="s">
        <v>3643</v>
      </c>
      <c r="I863" s="1" t="s">
        <v>568</v>
      </c>
      <c r="J863" s="1" t="s">
        <v>641</v>
      </c>
      <c r="K863">
        <v>0</v>
      </c>
      <c r="L863">
        <v>1</v>
      </c>
      <c r="M863">
        <v>184</v>
      </c>
      <c r="N863" s="21">
        <v>44415.628849618057</v>
      </c>
      <c r="O863" s="21">
        <v>44415.628849618057</v>
      </c>
      <c r="P863" s="21"/>
      <c r="Q863">
        <v>0</v>
      </c>
      <c r="T863">
        <v>60</v>
      </c>
    </row>
    <row r="864" spans="1:20" x14ac:dyDescent="0.25">
      <c r="A864">
        <v>864</v>
      </c>
      <c r="B864" s="1" t="s">
        <v>3646</v>
      </c>
      <c r="C864" s="1"/>
      <c r="D864" s="1" t="s">
        <v>3647</v>
      </c>
      <c r="E864" s="1"/>
      <c r="F864" s="1"/>
      <c r="G864" s="1"/>
      <c r="H864" s="1" t="s">
        <v>3648</v>
      </c>
      <c r="I864" s="1"/>
      <c r="J864" s="1" t="s">
        <v>641</v>
      </c>
      <c r="K864">
        <v>0</v>
      </c>
      <c r="L864">
        <v>0</v>
      </c>
      <c r="N864" s="21">
        <v>44415.628849618057</v>
      </c>
      <c r="O864" s="21">
        <v>44415.628849618057</v>
      </c>
      <c r="P864" s="21"/>
      <c r="Q864">
        <v>0</v>
      </c>
      <c r="T864">
        <v>60</v>
      </c>
    </row>
    <row r="865" spans="1:20" x14ac:dyDescent="0.25">
      <c r="A865">
        <v>865</v>
      </c>
      <c r="B865" s="1" t="s">
        <v>3646</v>
      </c>
      <c r="C865" s="1"/>
      <c r="D865" s="1" t="s">
        <v>3649</v>
      </c>
      <c r="E865" s="1"/>
      <c r="F865" s="1"/>
      <c r="G865" s="1"/>
      <c r="H865" s="1" t="s">
        <v>3650</v>
      </c>
      <c r="I865" s="1"/>
      <c r="J865" s="1"/>
      <c r="K865">
        <v>0</v>
      </c>
      <c r="L865">
        <v>0</v>
      </c>
      <c r="N865" s="21">
        <v>44415.628849618057</v>
      </c>
      <c r="O865" s="21">
        <v>44415.628849618057</v>
      </c>
      <c r="P865" s="21"/>
      <c r="Q865">
        <v>0</v>
      </c>
      <c r="T865">
        <v>60</v>
      </c>
    </row>
    <row r="866" spans="1:20" x14ac:dyDescent="0.25">
      <c r="A866">
        <v>866</v>
      </c>
      <c r="B866" s="1" t="s">
        <v>3651</v>
      </c>
      <c r="C866" s="1" t="s">
        <v>3652</v>
      </c>
      <c r="D866" s="1" t="s">
        <v>3653</v>
      </c>
      <c r="E866" s="1"/>
      <c r="F866" s="1"/>
      <c r="G866" s="1" t="s">
        <v>644</v>
      </c>
      <c r="H866" s="1" t="s">
        <v>3654</v>
      </c>
      <c r="I866" s="1" t="s">
        <v>3355</v>
      </c>
      <c r="J866" s="1" t="s">
        <v>641</v>
      </c>
      <c r="K866">
        <v>0</v>
      </c>
      <c r="L866">
        <v>1</v>
      </c>
      <c r="M866">
        <v>5562</v>
      </c>
      <c r="N866" s="21">
        <v>44415.628849618057</v>
      </c>
      <c r="O866" s="21">
        <v>44415.628849618057</v>
      </c>
      <c r="P866" s="21"/>
      <c r="Q866">
        <v>0</v>
      </c>
      <c r="T866">
        <v>60</v>
      </c>
    </row>
    <row r="867" spans="1:20" x14ac:dyDescent="0.25">
      <c r="A867">
        <v>867</v>
      </c>
      <c r="B867" s="1" t="s">
        <v>3655</v>
      </c>
      <c r="C867" s="1"/>
      <c r="D867" s="1" t="s">
        <v>3656</v>
      </c>
      <c r="E867" s="1"/>
      <c r="F867" s="1"/>
      <c r="G867" s="1" t="s">
        <v>634</v>
      </c>
      <c r="H867" s="1" t="s">
        <v>3657</v>
      </c>
      <c r="I867" s="1" t="s">
        <v>808</v>
      </c>
      <c r="J867" s="1" t="s">
        <v>641</v>
      </c>
      <c r="K867">
        <v>0</v>
      </c>
      <c r="L867">
        <v>0</v>
      </c>
      <c r="N867" s="21">
        <v>44415.628849618057</v>
      </c>
      <c r="O867" s="21">
        <v>44415.628849618057</v>
      </c>
      <c r="P867" s="21"/>
      <c r="Q867">
        <v>0</v>
      </c>
      <c r="T867">
        <v>60</v>
      </c>
    </row>
    <row r="868" spans="1:20" x14ac:dyDescent="0.25">
      <c r="A868">
        <v>868</v>
      </c>
      <c r="B868" s="1" t="s">
        <v>3658</v>
      </c>
      <c r="C868" s="1"/>
      <c r="D868" s="1" t="s">
        <v>3659</v>
      </c>
      <c r="E868" s="1"/>
      <c r="F868" s="1"/>
      <c r="G868" s="1" t="s">
        <v>634</v>
      </c>
      <c r="H868" s="1" t="s">
        <v>3660</v>
      </c>
      <c r="I868" s="1" t="s">
        <v>568</v>
      </c>
      <c r="J868" s="1" t="s">
        <v>641</v>
      </c>
      <c r="K868">
        <v>0</v>
      </c>
      <c r="L868">
        <v>0</v>
      </c>
      <c r="N868" s="21">
        <v>44415.628849618057</v>
      </c>
      <c r="O868" s="21">
        <v>44415.628849618057</v>
      </c>
      <c r="P868" s="21"/>
      <c r="Q868">
        <v>0</v>
      </c>
      <c r="T868">
        <v>60</v>
      </c>
    </row>
    <row r="869" spans="1:20" x14ac:dyDescent="0.25">
      <c r="A869">
        <v>869</v>
      </c>
      <c r="B869" s="1" t="s">
        <v>3661</v>
      </c>
      <c r="C869" s="1" t="s">
        <v>3662</v>
      </c>
      <c r="D869" s="1" t="s">
        <v>3663</v>
      </c>
      <c r="E869" s="1"/>
      <c r="F869" s="1"/>
      <c r="G869" s="1" t="s">
        <v>634</v>
      </c>
      <c r="H869" s="1" t="s">
        <v>3664</v>
      </c>
      <c r="I869" s="1" t="s">
        <v>782</v>
      </c>
      <c r="J869" s="1" t="s">
        <v>3665</v>
      </c>
      <c r="K869">
        <v>0</v>
      </c>
      <c r="L869">
        <v>1</v>
      </c>
      <c r="M869">
        <v>165</v>
      </c>
      <c r="N869" s="21">
        <v>44415.628849618057</v>
      </c>
      <c r="O869" s="21">
        <v>44415.628849618057</v>
      </c>
      <c r="P869" s="21"/>
      <c r="Q869">
        <v>0</v>
      </c>
      <c r="T869">
        <v>60</v>
      </c>
    </row>
    <row r="870" spans="1:20" x14ac:dyDescent="0.25">
      <c r="A870">
        <v>870</v>
      </c>
      <c r="B870" s="1" t="s">
        <v>3666</v>
      </c>
      <c r="C870" s="1"/>
      <c r="D870" s="1" t="s">
        <v>3667</v>
      </c>
      <c r="E870" s="1"/>
      <c r="F870" s="1"/>
      <c r="G870" s="1"/>
      <c r="H870" s="1" t="s">
        <v>3668</v>
      </c>
      <c r="I870" s="1"/>
      <c r="J870" s="1"/>
      <c r="K870">
        <v>0</v>
      </c>
      <c r="L870">
        <v>0</v>
      </c>
      <c r="N870" s="21">
        <v>44415.628849618057</v>
      </c>
      <c r="O870" s="21">
        <v>44415.628849618057</v>
      </c>
      <c r="P870" s="21"/>
      <c r="Q870">
        <v>0</v>
      </c>
      <c r="T870">
        <v>60</v>
      </c>
    </row>
    <row r="871" spans="1:20" x14ac:dyDescent="0.25">
      <c r="A871">
        <v>871</v>
      </c>
      <c r="B871" s="1" t="s">
        <v>3669</v>
      </c>
      <c r="C871" s="1"/>
      <c r="D871" s="1" t="s">
        <v>3670</v>
      </c>
      <c r="E871" s="1"/>
      <c r="F871" s="1"/>
      <c r="G871" s="1" t="s">
        <v>713</v>
      </c>
      <c r="H871" s="1" t="s">
        <v>3671</v>
      </c>
      <c r="I871" s="1"/>
      <c r="J871" s="1"/>
      <c r="K871">
        <v>0</v>
      </c>
      <c r="L871">
        <v>0</v>
      </c>
      <c r="N871" s="21">
        <v>44415.628849618057</v>
      </c>
      <c r="O871" s="21">
        <v>44415.628849618057</v>
      </c>
      <c r="P871" s="21"/>
      <c r="Q871">
        <v>0</v>
      </c>
      <c r="T871">
        <v>60</v>
      </c>
    </row>
    <row r="872" spans="1:20" x14ac:dyDescent="0.25">
      <c r="A872">
        <v>872</v>
      </c>
      <c r="B872" s="1" t="s">
        <v>3672</v>
      </c>
      <c r="C872" s="1"/>
      <c r="D872" s="1" t="s">
        <v>3673</v>
      </c>
      <c r="E872" s="1"/>
      <c r="F872" s="1"/>
      <c r="G872" s="1"/>
      <c r="H872" s="1" t="s">
        <v>3674</v>
      </c>
      <c r="I872" s="1"/>
      <c r="J872" s="1"/>
      <c r="K872">
        <v>0</v>
      </c>
      <c r="L872">
        <v>0</v>
      </c>
      <c r="N872" s="21">
        <v>44415.628849618057</v>
      </c>
      <c r="O872" s="21">
        <v>44415.628849618057</v>
      </c>
      <c r="P872" s="21"/>
      <c r="Q872">
        <v>0</v>
      </c>
      <c r="T872">
        <v>60</v>
      </c>
    </row>
    <row r="873" spans="1:20" x14ac:dyDescent="0.25">
      <c r="A873">
        <v>873</v>
      </c>
      <c r="B873" s="1" t="s">
        <v>3675</v>
      </c>
      <c r="C873" s="1"/>
      <c r="D873" s="1" t="s">
        <v>3676</v>
      </c>
      <c r="E873" s="1"/>
      <c r="F873" s="1"/>
      <c r="G873" s="1"/>
      <c r="H873" s="1" t="s">
        <v>3677</v>
      </c>
      <c r="I873" s="1"/>
      <c r="J873" s="1"/>
      <c r="K873">
        <v>0</v>
      </c>
      <c r="L873">
        <v>0</v>
      </c>
      <c r="N873" s="21">
        <v>44415.628849618057</v>
      </c>
      <c r="O873" s="21">
        <v>44415.628849618057</v>
      </c>
      <c r="P873" s="21"/>
      <c r="Q873">
        <v>0</v>
      </c>
      <c r="T873">
        <v>60</v>
      </c>
    </row>
    <row r="874" spans="1:20" x14ac:dyDescent="0.25">
      <c r="A874">
        <v>874</v>
      </c>
      <c r="B874" s="1" t="s">
        <v>3678</v>
      </c>
      <c r="C874" s="1"/>
      <c r="D874" s="1" t="s">
        <v>3679</v>
      </c>
      <c r="E874" s="1"/>
      <c r="F874" s="1"/>
      <c r="G874" s="1"/>
      <c r="H874" s="1" t="s">
        <v>3680</v>
      </c>
      <c r="I874" s="1"/>
      <c r="J874" s="1" t="s">
        <v>641</v>
      </c>
      <c r="K874">
        <v>0</v>
      </c>
      <c r="L874">
        <v>0</v>
      </c>
      <c r="N874" s="21">
        <v>44415.628849618057</v>
      </c>
      <c r="O874" s="21">
        <v>44415.628849618057</v>
      </c>
      <c r="P874" s="21"/>
      <c r="Q874">
        <v>0</v>
      </c>
      <c r="T874">
        <v>60</v>
      </c>
    </row>
    <row r="875" spans="1:20" x14ac:dyDescent="0.25">
      <c r="A875">
        <v>875</v>
      </c>
      <c r="B875" s="1" t="s">
        <v>3681</v>
      </c>
      <c r="C875" s="1"/>
      <c r="D875" s="1" t="s">
        <v>3682</v>
      </c>
      <c r="E875" s="1"/>
      <c r="F875" s="1"/>
      <c r="G875" s="1"/>
      <c r="H875" s="1" t="s">
        <v>3683</v>
      </c>
      <c r="I875" s="1"/>
      <c r="J875" s="1" t="s">
        <v>754</v>
      </c>
      <c r="K875">
        <v>0</v>
      </c>
      <c r="L875">
        <v>0</v>
      </c>
      <c r="N875" s="21">
        <v>44415.628849618057</v>
      </c>
      <c r="O875" s="21">
        <v>44415.628849618057</v>
      </c>
      <c r="P875" s="21"/>
      <c r="Q875">
        <v>0</v>
      </c>
      <c r="T875">
        <v>60</v>
      </c>
    </row>
    <row r="876" spans="1:20" x14ac:dyDescent="0.25">
      <c r="A876">
        <v>876</v>
      </c>
      <c r="B876" s="1" t="s">
        <v>3684</v>
      </c>
      <c r="C876" s="1" t="s">
        <v>3685</v>
      </c>
      <c r="D876" s="1" t="s">
        <v>3686</v>
      </c>
      <c r="E876" s="1" t="s">
        <v>3684</v>
      </c>
      <c r="F876" s="1"/>
      <c r="G876" s="1" t="s">
        <v>713</v>
      </c>
      <c r="H876" s="1" t="s">
        <v>3687</v>
      </c>
      <c r="I876" s="1"/>
      <c r="J876" s="1" t="s">
        <v>641</v>
      </c>
      <c r="K876">
        <v>1</v>
      </c>
      <c r="L876">
        <v>0</v>
      </c>
      <c r="N876" s="21">
        <v>44415.628849618057</v>
      </c>
      <c r="O876" s="21">
        <v>44415.628849618057</v>
      </c>
      <c r="P876" s="21"/>
      <c r="Q876">
        <v>0</v>
      </c>
      <c r="T876">
        <v>60</v>
      </c>
    </row>
    <row r="877" spans="1:20" x14ac:dyDescent="0.25">
      <c r="A877">
        <v>877</v>
      </c>
      <c r="B877" s="1" t="s">
        <v>3688</v>
      </c>
      <c r="C877" s="1" t="s">
        <v>3689</v>
      </c>
      <c r="D877" s="1" t="s">
        <v>3690</v>
      </c>
      <c r="E877" s="1"/>
      <c r="F877" s="1"/>
      <c r="G877" s="1"/>
      <c r="H877" s="1" t="s">
        <v>3691</v>
      </c>
      <c r="I877" s="1"/>
      <c r="J877" s="1"/>
      <c r="K877">
        <v>1</v>
      </c>
      <c r="L877">
        <v>0</v>
      </c>
      <c r="N877" s="21">
        <v>44415.628849618057</v>
      </c>
      <c r="O877" s="21">
        <v>44415.628849618057</v>
      </c>
      <c r="P877" s="21"/>
      <c r="Q877">
        <v>0</v>
      </c>
      <c r="T877">
        <v>60</v>
      </c>
    </row>
    <row r="878" spans="1:20" x14ac:dyDescent="0.25">
      <c r="A878">
        <v>878</v>
      </c>
      <c r="B878" s="1" t="s">
        <v>3692</v>
      </c>
      <c r="C878" s="1" t="s">
        <v>3693</v>
      </c>
      <c r="D878" s="1" t="s">
        <v>3694</v>
      </c>
      <c r="E878" s="1"/>
      <c r="F878" s="1"/>
      <c r="G878" s="1" t="s">
        <v>713</v>
      </c>
      <c r="H878" s="1" t="s">
        <v>3695</v>
      </c>
      <c r="I878" s="1"/>
      <c r="J878" s="1" t="s">
        <v>754</v>
      </c>
      <c r="K878">
        <v>1</v>
      </c>
      <c r="L878">
        <v>0</v>
      </c>
      <c r="N878" s="21">
        <v>44415.628849618057</v>
      </c>
      <c r="O878" s="21">
        <v>44415.628849618057</v>
      </c>
      <c r="P878" s="21"/>
      <c r="Q878">
        <v>0</v>
      </c>
      <c r="T878">
        <v>60</v>
      </c>
    </row>
    <row r="879" spans="1:20" x14ac:dyDescent="0.25">
      <c r="A879">
        <v>879</v>
      </c>
      <c r="B879" s="1" t="s">
        <v>3696</v>
      </c>
      <c r="C879" s="1"/>
      <c r="D879" s="1" t="s">
        <v>3697</v>
      </c>
      <c r="E879" s="1"/>
      <c r="F879" s="1"/>
      <c r="G879" s="1"/>
      <c r="H879" s="1" t="s">
        <v>3698</v>
      </c>
      <c r="I879" s="1"/>
      <c r="J879" s="1"/>
      <c r="K879">
        <v>0</v>
      </c>
      <c r="L879">
        <v>0</v>
      </c>
      <c r="N879" s="21">
        <v>44415.628849618057</v>
      </c>
      <c r="O879" s="21">
        <v>44415.628849618057</v>
      </c>
      <c r="P879" s="21"/>
      <c r="Q879">
        <v>0</v>
      </c>
      <c r="T879">
        <v>60</v>
      </c>
    </row>
    <row r="880" spans="1:20" x14ac:dyDescent="0.25">
      <c r="A880">
        <v>880</v>
      </c>
      <c r="B880" s="1" t="s">
        <v>3699</v>
      </c>
      <c r="C880" s="1"/>
      <c r="D880" s="1" t="s">
        <v>3700</v>
      </c>
      <c r="E880" s="1"/>
      <c r="F880" s="1"/>
      <c r="G880" s="1" t="s">
        <v>713</v>
      </c>
      <c r="H880" s="1" t="s">
        <v>3701</v>
      </c>
      <c r="I880" s="1"/>
      <c r="J880" s="1"/>
      <c r="K880">
        <v>0</v>
      </c>
      <c r="L880">
        <v>0</v>
      </c>
      <c r="N880" s="21">
        <v>44415.628849618057</v>
      </c>
      <c r="O880" s="21">
        <v>44415.628849618057</v>
      </c>
      <c r="P880" s="21"/>
      <c r="Q880">
        <v>0</v>
      </c>
      <c r="T880">
        <v>60</v>
      </c>
    </row>
    <row r="881" spans="1:20" x14ac:dyDescent="0.25">
      <c r="A881">
        <v>881</v>
      </c>
      <c r="B881" s="1" t="s">
        <v>3702</v>
      </c>
      <c r="C881" s="1"/>
      <c r="D881" s="1" t="s">
        <v>3703</v>
      </c>
      <c r="E881" s="1"/>
      <c r="F881" s="1"/>
      <c r="G881" s="1"/>
      <c r="H881" s="1" t="s">
        <v>3704</v>
      </c>
      <c r="I881" s="1"/>
      <c r="J881" s="1"/>
      <c r="K881">
        <v>0</v>
      </c>
      <c r="L881">
        <v>1</v>
      </c>
      <c r="N881" s="21">
        <v>44415.628849618057</v>
      </c>
      <c r="O881" s="21">
        <v>44415.628849618057</v>
      </c>
      <c r="P881" s="21"/>
      <c r="Q881">
        <v>0</v>
      </c>
      <c r="T881">
        <v>60</v>
      </c>
    </row>
    <row r="882" spans="1:20" x14ac:dyDescent="0.25">
      <c r="A882">
        <v>882</v>
      </c>
      <c r="B882" s="1" t="s">
        <v>3705</v>
      </c>
      <c r="C882" s="1"/>
      <c r="D882" s="1" t="s">
        <v>3706</v>
      </c>
      <c r="E882" s="1"/>
      <c r="F882" s="1"/>
      <c r="G882" s="1" t="s">
        <v>713</v>
      </c>
      <c r="H882" s="1" t="s">
        <v>3707</v>
      </c>
      <c r="I882" s="1"/>
      <c r="J882" s="1"/>
      <c r="K882">
        <v>0</v>
      </c>
      <c r="L882">
        <v>0</v>
      </c>
      <c r="N882" s="21">
        <v>44415.628849618057</v>
      </c>
      <c r="O882" s="21">
        <v>44415.628849618057</v>
      </c>
      <c r="P882" s="21"/>
      <c r="Q882">
        <v>0</v>
      </c>
      <c r="T882">
        <v>60</v>
      </c>
    </row>
    <row r="883" spans="1:20" x14ac:dyDescent="0.25">
      <c r="A883">
        <v>883</v>
      </c>
      <c r="B883" s="1" t="s">
        <v>3708</v>
      </c>
      <c r="C883" s="1" t="s">
        <v>3709</v>
      </c>
      <c r="D883" s="1" t="s">
        <v>3710</v>
      </c>
      <c r="E883" s="1"/>
      <c r="F883" s="1"/>
      <c r="G883" s="1" t="s">
        <v>713</v>
      </c>
      <c r="H883" s="1" t="s">
        <v>3383</v>
      </c>
      <c r="I883" s="1"/>
      <c r="J883" s="1" t="s">
        <v>754</v>
      </c>
      <c r="K883">
        <v>1</v>
      </c>
      <c r="L883">
        <v>1</v>
      </c>
      <c r="N883" s="21">
        <v>44415.628849618057</v>
      </c>
      <c r="O883" s="21">
        <v>44415.628849618057</v>
      </c>
      <c r="P883" s="21"/>
      <c r="Q883">
        <v>0</v>
      </c>
      <c r="T883">
        <v>60</v>
      </c>
    </row>
    <row r="884" spans="1:20" x14ac:dyDescent="0.25">
      <c r="A884">
        <v>884</v>
      </c>
      <c r="B884" s="1" t="s">
        <v>3711</v>
      </c>
      <c r="C884" s="1" t="s">
        <v>3712</v>
      </c>
      <c r="D884" s="1" t="s">
        <v>3713</v>
      </c>
      <c r="E884" s="1" t="s">
        <v>3711</v>
      </c>
      <c r="F884" s="1"/>
      <c r="G884" s="1" t="s">
        <v>713</v>
      </c>
      <c r="H884" s="1" t="s">
        <v>3714</v>
      </c>
      <c r="I884" s="1"/>
      <c r="J884" s="1" t="s">
        <v>636</v>
      </c>
      <c r="K884">
        <v>1</v>
      </c>
      <c r="L884">
        <v>0</v>
      </c>
      <c r="N884" s="21">
        <v>44415.628849618057</v>
      </c>
      <c r="O884" s="21">
        <v>44415.628849618057</v>
      </c>
      <c r="P884" s="21"/>
      <c r="Q884">
        <v>0</v>
      </c>
      <c r="T884">
        <v>60</v>
      </c>
    </row>
    <row r="885" spans="1:20" x14ac:dyDescent="0.25">
      <c r="A885">
        <v>885</v>
      </c>
      <c r="B885" s="1" t="s">
        <v>3715</v>
      </c>
      <c r="C885" s="1"/>
      <c r="D885" s="1" t="s">
        <v>3716</v>
      </c>
      <c r="E885" s="1"/>
      <c r="F885" s="1"/>
      <c r="G885" s="1"/>
      <c r="H885" s="1" t="s">
        <v>3717</v>
      </c>
      <c r="I885" s="1"/>
      <c r="J885" s="1"/>
      <c r="K885">
        <v>0</v>
      </c>
      <c r="L885">
        <v>0</v>
      </c>
      <c r="N885" s="21">
        <v>44415.628849618057</v>
      </c>
      <c r="O885" s="21">
        <v>44415.628849618057</v>
      </c>
      <c r="P885" s="21"/>
      <c r="Q885">
        <v>0</v>
      </c>
      <c r="T885">
        <v>60</v>
      </c>
    </row>
    <row r="886" spans="1:20" x14ac:dyDescent="0.25">
      <c r="A886">
        <v>886</v>
      </c>
      <c r="B886" s="1" t="s">
        <v>3718</v>
      </c>
      <c r="C886" s="1"/>
      <c r="D886" s="1" t="s">
        <v>3719</v>
      </c>
      <c r="E886" s="1"/>
      <c r="F886" s="1"/>
      <c r="G886" s="1"/>
      <c r="H886" s="1" t="s">
        <v>3720</v>
      </c>
      <c r="I886" s="1"/>
      <c r="J886" s="1" t="s">
        <v>636</v>
      </c>
      <c r="K886">
        <v>0</v>
      </c>
      <c r="L886">
        <v>0</v>
      </c>
      <c r="N886" s="21">
        <v>44415.628849618057</v>
      </c>
      <c r="O886" s="21">
        <v>44415.628849618057</v>
      </c>
      <c r="P886" s="21"/>
      <c r="Q886">
        <v>0</v>
      </c>
      <c r="T886">
        <v>60</v>
      </c>
    </row>
    <row r="887" spans="1:20" x14ac:dyDescent="0.25">
      <c r="A887">
        <v>887</v>
      </c>
      <c r="B887" s="1" t="s">
        <v>3721</v>
      </c>
      <c r="C887" s="1"/>
      <c r="D887" s="1" t="s">
        <v>3722</v>
      </c>
      <c r="E887" s="1"/>
      <c r="F887" s="1" t="s">
        <v>3723</v>
      </c>
      <c r="G887" s="1" t="s">
        <v>713</v>
      </c>
      <c r="H887" s="1" t="s">
        <v>3724</v>
      </c>
      <c r="I887" s="1"/>
      <c r="J887" s="1"/>
      <c r="K887">
        <v>0</v>
      </c>
      <c r="L887">
        <v>0</v>
      </c>
      <c r="N887" s="21">
        <v>44415.628849618057</v>
      </c>
      <c r="O887" s="21">
        <v>44415.628849618057</v>
      </c>
      <c r="P887" s="21"/>
      <c r="Q887">
        <v>0</v>
      </c>
      <c r="T887">
        <v>60</v>
      </c>
    </row>
    <row r="888" spans="1:20" x14ac:dyDescent="0.25">
      <c r="A888">
        <v>888</v>
      </c>
      <c r="B888" s="1" t="s">
        <v>3725</v>
      </c>
      <c r="C888" s="1"/>
      <c r="D888" s="1" t="s">
        <v>3726</v>
      </c>
      <c r="E888" s="1"/>
      <c r="F888" s="1"/>
      <c r="G888" s="1"/>
      <c r="H888" s="1" t="s">
        <v>3727</v>
      </c>
      <c r="I888" s="1"/>
      <c r="J888" s="1"/>
      <c r="K888">
        <v>0</v>
      </c>
      <c r="L888">
        <v>0</v>
      </c>
      <c r="N888" s="21">
        <v>44415.628849618057</v>
      </c>
      <c r="O888" s="21">
        <v>44415.628849618057</v>
      </c>
      <c r="P888" s="21"/>
      <c r="Q888">
        <v>0</v>
      </c>
      <c r="T888">
        <v>60</v>
      </c>
    </row>
    <row r="889" spans="1:20" x14ac:dyDescent="0.25">
      <c r="A889">
        <v>889</v>
      </c>
      <c r="B889" s="1" t="s">
        <v>3728</v>
      </c>
      <c r="C889" s="1"/>
      <c r="D889" s="1" t="s">
        <v>3729</v>
      </c>
      <c r="E889" s="1"/>
      <c r="F889" s="1"/>
      <c r="G889" s="1"/>
      <c r="H889" s="1" t="s">
        <v>3730</v>
      </c>
      <c r="I889" s="1"/>
      <c r="J889" s="1"/>
      <c r="K889">
        <v>0</v>
      </c>
      <c r="L889">
        <v>0</v>
      </c>
      <c r="N889" s="21">
        <v>44415.628849618057</v>
      </c>
      <c r="O889" s="21">
        <v>44415.628849618057</v>
      </c>
      <c r="P889" s="21"/>
      <c r="Q889">
        <v>0</v>
      </c>
      <c r="T889">
        <v>60</v>
      </c>
    </row>
    <row r="890" spans="1:20" x14ac:dyDescent="0.25">
      <c r="A890">
        <v>890</v>
      </c>
      <c r="B890" s="1" t="s">
        <v>3731</v>
      </c>
      <c r="C890" s="1"/>
      <c r="D890" s="1" t="s">
        <v>3732</v>
      </c>
      <c r="E890" s="1"/>
      <c r="F890" s="1"/>
      <c r="G890" s="1"/>
      <c r="H890" s="1" t="s">
        <v>3733</v>
      </c>
      <c r="I890" s="1"/>
      <c r="J890" s="1"/>
      <c r="K890">
        <v>0</v>
      </c>
      <c r="L890">
        <v>0</v>
      </c>
      <c r="N890" s="21">
        <v>44415.628849618057</v>
      </c>
      <c r="O890" s="21">
        <v>44415.628849618057</v>
      </c>
      <c r="P890" s="21"/>
      <c r="Q890">
        <v>0</v>
      </c>
      <c r="T890">
        <v>60</v>
      </c>
    </row>
    <row r="891" spans="1:20" x14ac:dyDescent="0.25">
      <c r="A891">
        <v>891</v>
      </c>
      <c r="B891" s="1" t="s">
        <v>3734</v>
      </c>
      <c r="C891" s="1"/>
      <c r="D891" s="1" t="s">
        <v>3735</v>
      </c>
      <c r="E891" s="1"/>
      <c r="F891" s="1"/>
      <c r="G891" s="1"/>
      <c r="H891" s="1" t="s">
        <v>3736</v>
      </c>
      <c r="I891" s="1"/>
      <c r="J891" s="1"/>
      <c r="K891">
        <v>0</v>
      </c>
      <c r="L891">
        <v>0</v>
      </c>
      <c r="N891" s="21">
        <v>44415.628849618057</v>
      </c>
      <c r="O891" s="21">
        <v>44415.628849618057</v>
      </c>
      <c r="P891" s="21"/>
      <c r="Q891">
        <v>0</v>
      </c>
      <c r="T891">
        <v>60</v>
      </c>
    </row>
    <row r="892" spans="1:20" x14ac:dyDescent="0.25">
      <c r="A892">
        <v>892</v>
      </c>
      <c r="B892" s="1" t="s">
        <v>3737</v>
      </c>
      <c r="C892" s="1" t="s">
        <v>3738</v>
      </c>
      <c r="D892" s="1" t="s">
        <v>3739</v>
      </c>
      <c r="E892" s="1"/>
      <c r="F892" s="1"/>
      <c r="G892" s="1" t="s">
        <v>634</v>
      </c>
      <c r="H892" s="1" t="s">
        <v>3740</v>
      </c>
      <c r="I892" s="1" t="s">
        <v>568</v>
      </c>
      <c r="J892" s="1" t="s">
        <v>641</v>
      </c>
      <c r="K892">
        <v>0</v>
      </c>
      <c r="L892">
        <v>1</v>
      </c>
      <c r="M892">
        <v>4209</v>
      </c>
      <c r="N892" s="21">
        <v>44415.628849618057</v>
      </c>
      <c r="O892" s="21">
        <v>44415.628849618057</v>
      </c>
      <c r="P892" s="21"/>
      <c r="Q892">
        <v>0</v>
      </c>
      <c r="T892">
        <v>60</v>
      </c>
    </row>
    <row r="893" spans="1:20" x14ac:dyDescent="0.25">
      <c r="A893">
        <v>893</v>
      </c>
      <c r="B893" s="1" t="s">
        <v>3737</v>
      </c>
      <c r="C893" s="1"/>
      <c r="D893" s="1" t="s">
        <v>3741</v>
      </c>
      <c r="E893" s="1"/>
      <c r="F893" s="1"/>
      <c r="G893" s="1"/>
      <c r="H893" s="1" t="s">
        <v>3740</v>
      </c>
      <c r="I893" s="1"/>
      <c r="J893" s="1"/>
      <c r="K893">
        <v>1</v>
      </c>
      <c r="L893">
        <v>0</v>
      </c>
      <c r="N893" s="21">
        <v>44415.628849618057</v>
      </c>
      <c r="O893" s="21">
        <v>44415.628849618057</v>
      </c>
      <c r="P893" s="21"/>
      <c r="Q893">
        <v>0</v>
      </c>
      <c r="T893">
        <v>60</v>
      </c>
    </row>
    <row r="894" spans="1:20" x14ac:dyDescent="0.25">
      <c r="A894">
        <v>894</v>
      </c>
      <c r="B894" s="1" t="s">
        <v>3742</v>
      </c>
      <c r="C894" s="1"/>
      <c r="D894" s="1" t="s">
        <v>3743</v>
      </c>
      <c r="E894" s="1"/>
      <c r="F894" s="1"/>
      <c r="G894" s="1" t="s">
        <v>634</v>
      </c>
      <c r="H894" s="1" t="s">
        <v>3744</v>
      </c>
      <c r="I894" s="1" t="s">
        <v>568</v>
      </c>
      <c r="J894" s="1" t="s">
        <v>641</v>
      </c>
      <c r="K894">
        <v>0</v>
      </c>
      <c r="L894">
        <v>0</v>
      </c>
      <c r="N894" s="21">
        <v>44415.628849618057</v>
      </c>
      <c r="O894" s="21">
        <v>44415.628849618057</v>
      </c>
      <c r="P894" s="21"/>
      <c r="Q894">
        <v>0</v>
      </c>
      <c r="T894">
        <v>60</v>
      </c>
    </row>
    <row r="895" spans="1:20" x14ac:dyDescent="0.25">
      <c r="A895">
        <v>895</v>
      </c>
      <c r="B895" s="1" t="s">
        <v>3745</v>
      </c>
      <c r="C895" s="1"/>
      <c r="D895" s="1" t="s">
        <v>3746</v>
      </c>
      <c r="E895" s="1"/>
      <c r="F895" s="1"/>
      <c r="G895" s="1" t="s">
        <v>634</v>
      </c>
      <c r="H895" s="1" t="s">
        <v>3747</v>
      </c>
      <c r="I895" s="1" t="s">
        <v>568</v>
      </c>
      <c r="J895" s="1" t="s">
        <v>641</v>
      </c>
      <c r="K895">
        <v>0</v>
      </c>
      <c r="L895">
        <v>0</v>
      </c>
      <c r="N895" s="21">
        <v>44415.628849618057</v>
      </c>
      <c r="O895" s="21">
        <v>44415.628849618057</v>
      </c>
      <c r="P895" s="21"/>
      <c r="Q895">
        <v>0</v>
      </c>
      <c r="T895">
        <v>60</v>
      </c>
    </row>
    <row r="896" spans="1:20" x14ac:dyDescent="0.25">
      <c r="A896">
        <v>896</v>
      </c>
      <c r="B896" s="1" t="s">
        <v>3748</v>
      </c>
      <c r="C896" s="1"/>
      <c r="D896" s="1" t="s">
        <v>3749</v>
      </c>
      <c r="E896" s="1"/>
      <c r="F896" s="1"/>
      <c r="G896" s="1" t="s">
        <v>634</v>
      </c>
      <c r="H896" s="1" t="s">
        <v>3750</v>
      </c>
      <c r="I896" s="1"/>
      <c r="J896" s="1"/>
      <c r="K896">
        <v>0</v>
      </c>
      <c r="L896">
        <v>0</v>
      </c>
      <c r="N896" s="21">
        <v>44415.628849618057</v>
      </c>
      <c r="O896" s="21">
        <v>44415.628849618057</v>
      </c>
      <c r="P896" s="21"/>
      <c r="Q896">
        <v>0</v>
      </c>
      <c r="T896">
        <v>60</v>
      </c>
    </row>
    <row r="897" spans="1:20" x14ac:dyDescent="0.25">
      <c r="A897">
        <v>897</v>
      </c>
      <c r="B897" s="1" t="s">
        <v>3751</v>
      </c>
      <c r="C897" s="1" t="s">
        <v>3752</v>
      </c>
      <c r="D897" s="1" t="s">
        <v>3753</v>
      </c>
      <c r="E897" s="1"/>
      <c r="F897" s="1" t="s">
        <v>3754</v>
      </c>
      <c r="G897" s="1" t="s">
        <v>713</v>
      </c>
      <c r="H897" s="1" t="s">
        <v>3755</v>
      </c>
      <c r="I897" s="1" t="s">
        <v>568</v>
      </c>
      <c r="J897" s="1" t="s">
        <v>641</v>
      </c>
      <c r="K897">
        <v>0</v>
      </c>
      <c r="L897">
        <v>1</v>
      </c>
      <c r="M897">
        <v>2093</v>
      </c>
      <c r="N897" s="21">
        <v>44415.628849618057</v>
      </c>
      <c r="O897" s="21">
        <v>44415.628849618057</v>
      </c>
      <c r="P897" s="21"/>
      <c r="Q897">
        <v>0</v>
      </c>
      <c r="T897">
        <v>60</v>
      </c>
    </row>
    <row r="898" spans="1:20" x14ac:dyDescent="0.25">
      <c r="A898">
        <v>898</v>
      </c>
      <c r="B898" s="1" t="s">
        <v>3756</v>
      </c>
      <c r="C898" s="1"/>
      <c r="D898" s="1" t="s">
        <v>3757</v>
      </c>
      <c r="E898" s="1"/>
      <c r="F898" s="1"/>
      <c r="G898" s="1" t="s">
        <v>634</v>
      </c>
      <c r="H898" s="1" t="s">
        <v>3758</v>
      </c>
      <c r="I898" s="1" t="s">
        <v>568</v>
      </c>
      <c r="J898" s="1" t="s">
        <v>641</v>
      </c>
      <c r="K898">
        <v>0</v>
      </c>
      <c r="L898">
        <v>0</v>
      </c>
      <c r="N898" s="21">
        <v>44415.628849618057</v>
      </c>
      <c r="O898" s="21">
        <v>44415.628849618057</v>
      </c>
      <c r="P898" s="21"/>
      <c r="Q898">
        <v>0</v>
      </c>
      <c r="T898">
        <v>60</v>
      </c>
    </row>
    <row r="899" spans="1:20" x14ac:dyDescent="0.25">
      <c r="A899">
        <v>899</v>
      </c>
      <c r="B899" s="1" t="s">
        <v>3759</v>
      </c>
      <c r="C899" s="1"/>
      <c r="D899" s="1" t="s">
        <v>3760</v>
      </c>
      <c r="E899" s="1"/>
      <c r="F899" s="1"/>
      <c r="G899" s="1" t="s">
        <v>644</v>
      </c>
      <c r="H899" s="1" t="s">
        <v>3761</v>
      </c>
      <c r="I899" s="1" t="s">
        <v>1702</v>
      </c>
      <c r="J899" s="1" t="s">
        <v>641</v>
      </c>
      <c r="K899">
        <v>0</v>
      </c>
      <c r="L899">
        <v>0</v>
      </c>
      <c r="N899" s="21">
        <v>44415.628849618057</v>
      </c>
      <c r="O899" s="21">
        <v>44415.628849618057</v>
      </c>
      <c r="P899" s="21"/>
      <c r="Q899">
        <v>0</v>
      </c>
      <c r="T899">
        <v>60</v>
      </c>
    </row>
    <row r="900" spans="1:20" x14ac:dyDescent="0.25">
      <c r="A900">
        <v>900</v>
      </c>
      <c r="B900" s="1" t="s">
        <v>3762</v>
      </c>
      <c r="C900" s="1"/>
      <c r="D900" s="1" t="s">
        <v>3763</v>
      </c>
      <c r="E900" s="1" t="s">
        <v>3764</v>
      </c>
      <c r="F900" s="1" t="s">
        <v>3765</v>
      </c>
      <c r="G900" s="1" t="s">
        <v>644</v>
      </c>
      <c r="H900" s="1" t="s">
        <v>3766</v>
      </c>
      <c r="I900" s="1"/>
      <c r="J900" s="1"/>
      <c r="K900">
        <v>0</v>
      </c>
      <c r="L900">
        <v>0</v>
      </c>
      <c r="N900" s="21">
        <v>44415.628849618057</v>
      </c>
      <c r="O900" s="21">
        <v>44415.628849618057</v>
      </c>
      <c r="P900" s="21"/>
      <c r="Q900">
        <v>0</v>
      </c>
      <c r="T900">
        <v>60</v>
      </c>
    </row>
    <row r="901" spans="1:20" x14ac:dyDescent="0.25">
      <c r="A901">
        <v>901</v>
      </c>
      <c r="B901" s="1" t="s">
        <v>3767</v>
      </c>
      <c r="C901" s="1"/>
      <c r="D901" s="1" t="s">
        <v>3768</v>
      </c>
      <c r="E901" s="1"/>
      <c r="F901" s="1"/>
      <c r="G901" s="1" t="s">
        <v>644</v>
      </c>
      <c r="H901" s="1" t="s">
        <v>3769</v>
      </c>
      <c r="I901" s="1"/>
      <c r="J901" s="1"/>
      <c r="K901">
        <v>0</v>
      </c>
      <c r="L901">
        <v>0</v>
      </c>
      <c r="N901" s="21">
        <v>44415.628849618057</v>
      </c>
      <c r="O901" s="21">
        <v>44415.628849618057</v>
      </c>
      <c r="P901" s="21"/>
      <c r="Q901">
        <v>0</v>
      </c>
      <c r="T901">
        <v>60</v>
      </c>
    </row>
    <row r="902" spans="1:20" x14ac:dyDescent="0.25">
      <c r="A902">
        <v>902</v>
      </c>
      <c r="B902" s="1" t="s">
        <v>3770</v>
      </c>
      <c r="C902" s="1"/>
      <c r="D902" s="1" t="s">
        <v>3771</v>
      </c>
      <c r="E902" s="1"/>
      <c r="F902" s="1"/>
      <c r="G902" s="1"/>
      <c r="H902" s="1" t="s">
        <v>3772</v>
      </c>
      <c r="I902" s="1"/>
      <c r="J902" s="1"/>
      <c r="K902">
        <v>0</v>
      </c>
      <c r="L902">
        <v>0</v>
      </c>
      <c r="N902" s="21">
        <v>44415.628849618057</v>
      </c>
      <c r="O902" s="21">
        <v>44415.628849618057</v>
      </c>
      <c r="P902" s="21"/>
      <c r="Q902">
        <v>0</v>
      </c>
      <c r="T902">
        <v>60</v>
      </c>
    </row>
    <row r="903" spans="1:20" x14ac:dyDescent="0.25">
      <c r="A903">
        <v>903</v>
      </c>
      <c r="B903" s="1" t="s">
        <v>3773</v>
      </c>
      <c r="C903" s="1"/>
      <c r="D903" s="1" t="s">
        <v>3774</v>
      </c>
      <c r="E903" s="1"/>
      <c r="F903" s="1"/>
      <c r="G903" s="1" t="s">
        <v>644</v>
      </c>
      <c r="H903" s="1" t="s">
        <v>3775</v>
      </c>
      <c r="I903" s="1"/>
      <c r="J903" s="1"/>
      <c r="K903">
        <v>0</v>
      </c>
      <c r="L903">
        <v>0</v>
      </c>
      <c r="N903" s="21">
        <v>44415.628849618057</v>
      </c>
      <c r="O903" s="21">
        <v>44415.628849618057</v>
      </c>
      <c r="P903" s="21"/>
      <c r="Q903">
        <v>0</v>
      </c>
      <c r="T903">
        <v>60</v>
      </c>
    </row>
    <row r="904" spans="1:20" x14ac:dyDescent="0.25">
      <c r="A904">
        <v>904</v>
      </c>
      <c r="B904" s="1" t="s">
        <v>3776</v>
      </c>
      <c r="C904" s="1"/>
      <c r="D904" s="1" t="s">
        <v>3777</v>
      </c>
      <c r="E904" s="1"/>
      <c r="F904" s="1" t="s">
        <v>3778</v>
      </c>
      <c r="G904" s="1" t="s">
        <v>634</v>
      </c>
      <c r="H904" s="1" t="s">
        <v>3779</v>
      </c>
      <c r="I904" s="1" t="s">
        <v>568</v>
      </c>
      <c r="J904" s="1"/>
      <c r="K904">
        <v>0</v>
      </c>
      <c r="L904">
        <v>0</v>
      </c>
      <c r="N904" s="21">
        <v>44415.628849618057</v>
      </c>
      <c r="O904" s="21">
        <v>44415.628849618057</v>
      </c>
      <c r="P904" s="21"/>
      <c r="Q904">
        <v>0</v>
      </c>
      <c r="T904">
        <v>60</v>
      </c>
    </row>
    <row r="905" spans="1:20" x14ac:dyDescent="0.25">
      <c r="A905">
        <v>905</v>
      </c>
      <c r="B905" s="1" t="s">
        <v>3780</v>
      </c>
      <c r="C905" s="1"/>
      <c r="D905" s="1" t="s">
        <v>3781</v>
      </c>
      <c r="E905" s="1"/>
      <c r="F905" s="1"/>
      <c r="G905" s="1" t="s">
        <v>644</v>
      </c>
      <c r="H905" s="1" t="s">
        <v>3782</v>
      </c>
      <c r="I905" s="1"/>
      <c r="J905" s="1"/>
      <c r="K905">
        <v>0</v>
      </c>
      <c r="L905">
        <v>0</v>
      </c>
      <c r="N905" s="21">
        <v>44415.628849618057</v>
      </c>
      <c r="O905" s="21">
        <v>44415.628849618057</v>
      </c>
      <c r="P905" s="21"/>
      <c r="Q905">
        <v>0</v>
      </c>
      <c r="T905">
        <v>60</v>
      </c>
    </row>
    <row r="906" spans="1:20" x14ac:dyDescent="0.25">
      <c r="A906">
        <v>906</v>
      </c>
      <c r="B906" s="1" t="s">
        <v>3783</v>
      </c>
      <c r="C906" s="1"/>
      <c r="D906" s="1" t="s">
        <v>3784</v>
      </c>
      <c r="E906" s="1"/>
      <c r="F906" s="1"/>
      <c r="G906" s="1" t="s">
        <v>634</v>
      </c>
      <c r="H906" s="1" t="s">
        <v>3785</v>
      </c>
      <c r="I906" s="1" t="s">
        <v>995</v>
      </c>
      <c r="J906" s="1" t="s">
        <v>641</v>
      </c>
      <c r="K906">
        <v>0</v>
      </c>
      <c r="L906">
        <v>0</v>
      </c>
      <c r="N906" s="21">
        <v>44415.628849618057</v>
      </c>
      <c r="O906" s="21">
        <v>44415.628849618057</v>
      </c>
      <c r="P906" s="21"/>
      <c r="Q906">
        <v>0</v>
      </c>
      <c r="T906">
        <v>60</v>
      </c>
    </row>
    <row r="907" spans="1:20" x14ac:dyDescent="0.25">
      <c r="A907">
        <v>907</v>
      </c>
      <c r="B907" s="1" t="s">
        <v>3786</v>
      </c>
      <c r="C907" s="1"/>
      <c r="D907" s="1" t="s">
        <v>3787</v>
      </c>
      <c r="E907" s="1"/>
      <c r="F907" s="1"/>
      <c r="G907" s="1" t="s">
        <v>644</v>
      </c>
      <c r="H907" s="1" t="s">
        <v>3788</v>
      </c>
      <c r="I907" s="1"/>
      <c r="J907" s="1"/>
      <c r="K907">
        <v>0</v>
      </c>
      <c r="L907">
        <v>0</v>
      </c>
      <c r="N907" s="21">
        <v>44415.628849618057</v>
      </c>
      <c r="O907" s="21">
        <v>44415.628849618057</v>
      </c>
      <c r="P907" s="21"/>
      <c r="Q907">
        <v>0</v>
      </c>
      <c r="T907">
        <v>60</v>
      </c>
    </row>
    <row r="908" spans="1:20" x14ac:dyDescent="0.25">
      <c r="A908">
        <v>908</v>
      </c>
      <c r="B908" s="1" t="s">
        <v>3789</v>
      </c>
      <c r="C908" s="1"/>
      <c r="D908" s="1" t="s">
        <v>3790</v>
      </c>
      <c r="E908" s="1"/>
      <c r="F908" s="1"/>
      <c r="G908" s="1"/>
      <c r="H908" s="1" t="s">
        <v>3791</v>
      </c>
      <c r="I908" s="1"/>
      <c r="J908" s="1"/>
      <c r="K908">
        <v>0</v>
      </c>
      <c r="L908">
        <v>0</v>
      </c>
      <c r="N908" s="21">
        <v>44415.628849618057</v>
      </c>
      <c r="O908" s="21">
        <v>44415.628849618057</v>
      </c>
      <c r="P908" s="21"/>
      <c r="Q908">
        <v>0</v>
      </c>
      <c r="T908">
        <v>60</v>
      </c>
    </row>
    <row r="909" spans="1:20" x14ac:dyDescent="0.25">
      <c r="A909">
        <v>909</v>
      </c>
      <c r="B909" s="1" t="s">
        <v>3792</v>
      </c>
      <c r="C909" s="1"/>
      <c r="D909" s="1" t="s">
        <v>3793</v>
      </c>
      <c r="E909" s="1"/>
      <c r="F909" s="1"/>
      <c r="G909" s="1" t="s">
        <v>634</v>
      </c>
      <c r="H909" s="1" t="s">
        <v>3794</v>
      </c>
      <c r="I909" s="1" t="s">
        <v>568</v>
      </c>
      <c r="J909" s="1" t="s">
        <v>641</v>
      </c>
      <c r="K909">
        <v>0</v>
      </c>
      <c r="L909">
        <v>0</v>
      </c>
      <c r="N909" s="21">
        <v>44415.628849618057</v>
      </c>
      <c r="O909" s="21">
        <v>44415.628849618057</v>
      </c>
      <c r="P909" s="21"/>
      <c r="Q909">
        <v>0</v>
      </c>
      <c r="T909">
        <v>60</v>
      </c>
    </row>
    <row r="910" spans="1:20" x14ac:dyDescent="0.25">
      <c r="A910">
        <v>910</v>
      </c>
      <c r="B910" s="1" t="s">
        <v>3795</v>
      </c>
      <c r="C910" s="1"/>
      <c r="D910" s="1" t="s">
        <v>3796</v>
      </c>
      <c r="E910" s="1"/>
      <c r="F910" s="1"/>
      <c r="G910" s="1"/>
      <c r="H910" s="1" t="s">
        <v>3797</v>
      </c>
      <c r="I910" s="1"/>
      <c r="J910" s="1"/>
      <c r="K910">
        <v>0</v>
      </c>
      <c r="L910">
        <v>1</v>
      </c>
      <c r="N910" s="21">
        <v>44415.628849618057</v>
      </c>
      <c r="O910" s="21">
        <v>44415.628849618057</v>
      </c>
      <c r="P910" s="21"/>
      <c r="Q910">
        <v>0</v>
      </c>
      <c r="T910">
        <v>60</v>
      </c>
    </row>
    <row r="911" spans="1:20" x14ac:dyDescent="0.25">
      <c r="A911">
        <v>911</v>
      </c>
      <c r="B911" s="1" t="s">
        <v>3798</v>
      </c>
      <c r="C911" s="1" t="s">
        <v>3799</v>
      </c>
      <c r="D911" s="1" t="s">
        <v>3800</v>
      </c>
      <c r="E911" s="1"/>
      <c r="F911" s="1"/>
      <c r="G911" s="1" t="s">
        <v>634</v>
      </c>
      <c r="H911" s="1" t="s">
        <v>3801</v>
      </c>
      <c r="I911" s="1" t="s">
        <v>568</v>
      </c>
      <c r="J911" s="1" t="s">
        <v>636</v>
      </c>
      <c r="K911">
        <v>0</v>
      </c>
      <c r="L911">
        <v>0</v>
      </c>
      <c r="N911" s="21">
        <v>44415.628849618057</v>
      </c>
      <c r="O911" s="21">
        <v>44415.628849618057</v>
      </c>
      <c r="P911" s="21"/>
      <c r="Q911">
        <v>0</v>
      </c>
      <c r="T911">
        <v>60</v>
      </c>
    </row>
    <row r="912" spans="1:20" x14ac:dyDescent="0.25">
      <c r="A912">
        <v>912</v>
      </c>
      <c r="B912" s="1" t="s">
        <v>3802</v>
      </c>
      <c r="C912" s="1"/>
      <c r="D912" s="1" t="s">
        <v>3803</v>
      </c>
      <c r="E912" s="1"/>
      <c r="F912" s="1"/>
      <c r="G912" s="1" t="s">
        <v>634</v>
      </c>
      <c r="H912" s="1" t="s">
        <v>3804</v>
      </c>
      <c r="I912" s="1" t="s">
        <v>1740</v>
      </c>
      <c r="J912" s="1" t="s">
        <v>641</v>
      </c>
      <c r="K912">
        <v>0</v>
      </c>
      <c r="L912">
        <v>0</v>
      </c>
      <c r="N912" s="21">
        <v>44415.628849618057</v>
      </c>
      <c r="O912" s="21">
        <v>44415.628849618057</v>
      </c>
      <c r="P912" s="21"/>
      <c r="Q912">
        <v>0</v>
      </c>
      <c r="T912">
        <v>60</v>
      </c>
    </row>
    <row r="913" spans="1:20" x14ac:dyDescent="0.25">
      <c r="A913">
        <v>913</v>
      </c>
      <c r="B913" s="1" t="s">
        <v>3805</v>
      </c>
      <c r="C913" s="1"/>
      <c r="D913" s="1" t="s">
        <v>3806</v>
      </c>
      <c r="E913" s="1"/>
      <c r="F913" s="1"/>
      <c r="G913" s="1"/>
      <c r="H913" s="1" t="s">
        <v>3807</v>
      </c>
      <c r="I913" s="1"/>
      <c r="J913" s="1"/>
      <c r="K913">
        <v>0</v>
      </c>
      <c r="L913">
        <v>0</v>
      </c>
      <c r="N913" s="21">
        <v>44415.628849618057</v>
      </c>
      <c r="O913" s="21">
        <v>44415.628849618057</v>
      </c>
      <c r="P913" s="21"/>
      <c r="Q913">
        <v>0</v>
      </c>
      <c r="T913">
        <v>60</v>
      </c>
    </row>
    <row r="914" spans="1:20" x14ac:dyDescent="0.25">
      <c r="A914">
        <v>914</v>
      </c>
      <c r="B914" s="1" t="s">
        <v>3808</v>
      </c>
      <c r="C914" s="1"/>
      <c r="D914" s="1" t="s">
        <v>3809</v>
      </c>
      <c r="E914" s="1"/>
      <c r="F914" s="1"/>
      <c r="G914" s="1"/>
      <c r="H914" s="1" t="s">
        <v>3810</v>
      </c>
      <c r="I914" s="1"/>
      <c r="J914" s="1"/>
      <c r="K914">
        <v>0</v>
      </c>
      <c r="L914">
        <v>0</v>
      </c>
      <c r="N914" s="21">
        <v>44415.628849618057</v>
      </c>
      <c r="O914" s="21">
        <v>44415.628849618057</v>
      </c>
      <c r="P914" s="21"/>
      <c r="Q914">
        <v>0</v>
      </c>
      <c r="T914">
        <v>60</v>
      </c>
    </row>
    <row r="915" spans="1:20" x14ac:dyDescent="0.25">
      <c r="A915">
        <v>915</v>
      </c>
      <c r="B915" s="1" t="s">
        <v>3811</v>
      </c>
      <c r="C915" s="1" t="s">
        <v>3812</v>
      </c>
      <c r="D915" s="1" t="s">
        <v>3813</v>
      </c>
      <c r="E915" s="1"/>
      <c r="F915" s="1"/>
      <c r="G915" s="1" t="s">
        <v>634</v>
      </c>
      <c r="H915" s="1" t="s">
        <v>3814</v>
      </c>
      <c r="I915" s="1" t="s">
        <v>568</v>
      </c>
      <c r="J915" s="1" t="s">
        <v>641</v>
      </c>
      <c r="K915">
        <v>0</v>
      </c>
      <c r="L915">
        <v>1</v>
      </c>
      <c r="M915">
        <v>81</v>
      </c>
      <c r="N915" s="21">
        <v>44415.628849618057</v>
      </c>
      <c r="O915" s="21">
        <v>44415.628849618057</v>
      </c>
      <c r="P915" s="21"/>
      <c r="Q915">
        <v>0</v>
      </c>
      <c r="T915">
        <v>60</v>
      </c>
    </row>
    <row r="916" spans="1:20" x14ac:dyDescent="0.25">
      <c r="A916">
        <v>916</v>
      </c>
      <c r="B916" s="1" t="s">
        <v>3815</v>
      </c>
      <c r="C916" s="1"/>
      <c r="D916" s="1" t="s">
        <v>3816</v>
      </c>
      <c r="E916" s="1"/>
      <c r="F916" s="1"/>
      <c r="G916" s="1"/>
      <c r="H916" s="1" t="s">
        <v>3817</v>
      </c>
      <c r="I916" s="1" t="s">
        <v>568</v>
      </c>
      <c r="J916" s="1"/>
      <c r="K916">
        <v>0</v>
      </c>
      <c r="L916">
        <v>0</v>
      </c>
      <c r="N916" s="21">
        <v>44415.628849618057</v>
      </c>
      <c r="O916" s="21">
        <v>44415.628849618057</v>
      </c>
      <c r="P916" s="21"/>
      <c r="Q916">
        <v>0</v>
      </c>
      <c r="T916">
        <v>60</v>
      </c>
    </row>
    <row r="917" spans="1:20" x14ac:dyDescent="0.25">
      <c r="A917">
        <v>917</v>
      </c>
      <c r="B917" s="1" t="s">
        <v>3818</v>
      </c>
      <c r="C917" s="1" t="s">
        <v>3819</v>
      </c>
      <c r="D917" s="1" t="s">
        <v>3820</v>
      </c>
      <c r="E917" s="1"/>
      <c r="F917" s="1"/>
      <c r="G917" s="1" t="s">
        <v>634</v>
      </c>
      <c r="H917" s="1" t="s">
        <v>3821</v>
      </c>
      <c r="I917" s="1" t="s">
        <v>568</v>
      </c>
      <c r="J917" s="1" t="s">
        <v>641</v>
      </c>
      <c r="K917">
        <v>0</v>
      </c>
      <c r="L917">
        <v>1</v>
      </c>
      <c r="M917">
        <v>4857</v>
      </c>
      <c r="N917" s="21">
        <v>44415.628849618057</v>
      </c>
      <c r="O917" s="21">
        <v>44415.628849618057</v>
      </c>
      <c r="P917" s="21"/>
      <c r="Q917">
        <v>0</v>
      </c>
      <c r="T917">
        <v>60</v>
      </c>
    </row>
    <row r="918" spans="1:20" x14ac:dyDescent="0.25">
      <c r="A918">
        <v>918</v>
      </c>
      <c r="B918" s="1" t="s">
        <v>3822</v>
      </c>
      <c r="C918" s="1" t="s">
        <v>3823</v>
      </c>
      <c r="D918" s="1" t="s">
        <v>3824</v>
      </c>
      <c r="E918" s="1"/>
      <c r="F918" s="1"/>
      <c r="G918" s="1"/>
      <c r="H918" s="1" t="s">
        <v>3825</v>
      </c>
      <c r="I918" s="1" t="s">
        <v>568</v>
      </c>
      <c r="J918" s="1" t="s">
        <v>636</v>
      </c>
      <c r="K918">
        <v>0</v>
      </c>
      <c r="L918">
        <v>1</v>
      </c>
      <c r="M918">
        <v>3866</v>
      </c>
      <c r="N918" s="21">
        <v>44415.628849618057</v>
      </c>
      <c r="O918" s="21">
        <v>44415.628849618057</v>
      </c>
      <c r="P918" s="21"/>
      <c r="Q918">
        <v>0</v>
      </c>
      <c r="T918">
        <v>60</v>
      </c>
    </row>
    <row r="919" spans="1:20" x14ac:dyDescent="0.25">
      <c r="A919">
        <v>919</v>
      </c>
      <c r="B919" s="1" t="s">
        <v>3826</v>
      </c>
      <c r="C919" s="1" t="s">
        <v>3827</v>
      </c>
      <c r="D919" s="1" t="s">
        <v>3828</v>
      </c>
      <c r="E919" s="1"/>
      <c r="F919" s="1"/>
      <c r="G919" s="1" t="s">
        <v>634</v>
      </c>
      <c r="H919" s="1" t="s">
        <v>3829</v>
      </c>
      <c r="I919" s="1" t="s">
        <v>568</v>
      </c>
      <c r="J919" s="1" t="s">
        <v>3830</v>
      </c>
      <c r="K919">
        <v>0</v>
      </c>
      <c r="L919">
        <v>1</v>
      </c>
      <c r="M919">
        <v>61</v>
      </c>
      <c r="N919" s="21">
        <v>44415.628849618057</v>
      </c>
      <c r="O919" s="21">
        <v>44415.628849618057</v>
      </c>
      <c r="P919" s="21"/>
      <c r="Q919">
        <v>0</v>
      </c>
      <c r="T919">
        <v>60</v>
      </c>
    </row>
    <row r="920" spans="1:20" x14ac:dyDescent="0.25">
      <c r="A920">
        <v>920</v>
      </c>
      <c r="B920" s="1" t="s">
        <v>3831</v>
      </c>
      <c r="C920" s="1"/>
      <c r="D920" s="1" t="s">
        <v>3832</v>
      </c>
      <c r="E920" s="1"/>
      <c r="F920" s="1"/>
      <c r="G920" s="1" t="s">
        <v>634</v>
      </c>
      <c r="H920" s="1" t="s">
        <v>3833</v>
      </c>
      <c r="I920" s="1"/>
      <c r="J920" s="1" t="s">
        <v>641</v>
      </c>
      <c r="K920">
        <v>0</v>
      </c>
      <c r="L920">
        <v>0</v>
      </c>
      <c r="N920" s="21">
        <v>44415.628849618057</v>
      </c>
      <c r="O920" s="21">
        <v>44415.628849618057</v>
      </c>
      <c r="P920" s="21"/>
      <c r="Q920">
        <v>0</v>
      </c>
      <c r="T920">
        <v>60</v>
      </c>
    </row>
    <row r="921" spans="1:20" x14ac:dyDescent="0.25">
      <c r="A921">
        <v>921</v>
      </c>
      <c r="B921" s="1" t="s">
        <v>3834</v>
      </c>
      <c r="C921" s="1"/>
      <c r="D921" s="1" t="s">
        <v>3835</v>
      </c>
      <c r="E921" s="1"/>
      <c r="F921" s="1"/>
      <c r="G921" s="1" t="s">
        <v>644</v>
      </c>
      <c r="H921" s="1" t="s">
        <v>3836</v>
      </c>
      <c r="I921" s="1"/>
      <c r="J921" s="1"/>
      <c r="K921">
        <v>0</v>
      </c>
      <c r="L921">
        <v>0</v>
      </c>
      <c r="N921" s="21">
        <v>44415.628849618057</v>
      </c>
      <c r="O921" s="21">
        <v>44415.628849618057</v>
      </c>
      <c r="P921" s="21"/>
      <c r="Q921">
        <v>0</v>
      </c>
      <c r="T921">
        <v>60</v>
      </c>
    </row>
    <row r="922" spans="1:20" x14ac:dyDescent="0.25">
      <c r="A922">
        <v>922</v>
      </c>
      <c r="B922" s="1" t="s">
        <v>3837</v>
      </c>
      <c r="C922" s="1" t="s">
        <v>3838</v>
      </c>
      <c r="D922" s="1" t="s">
        <v>3839</v>
      </c>
      <c r="E922" s="1"/>
      <c r="F922" s="1"/>
      <c r="G922" s="1" t="s">
        <v>644</v>
      </c>
      <c r="H922" s="1" t="s">
        <v>3840</v>
      </c>
      <c r="I922" s="1" t="s">
        <v>782</v>
      </c>
      <c r="J922" s="1" t="s">
        <v>641</v>
      </c>
      <c r="K922">
        <v>0</v>
      </c>
      <c r="L922">
        <v>1</v>
      </c>
      <c r="M922">
        <v>3884</v>
      </c>
      <c r="N922" s="21">
        <v>44415.628849618057</v>
      </c>
      <c r="O922" s="21">
        <v>44415.628849618057</v>
      </c>
      <c r="P922" s="21"/>
      <c r="Q922">
        <v>0</v>
      </c>
      <c r="T922">
        <v>60</v>
      </c>
    </row>
    <row r="923" spans="1:20" x14ac:dyDescent="0.25">
      <c r="A923">
        <v>923</v>
      </c>
      <c r="B923" s="1" t="s">
        <v>3841</v>
      </c>
      <c r="C923" s="1" t="s">
        <v>3842</v>
      </c>
      <c r="D923" s="1" t="s">
        <v>3843</v>
      </c>
      <c r="E923" s="1"/>
      <c r="F923" s="1"/>
      <c r="G923" s="1" t="s">
        <v>713</v>
      </c>
      <c r="H923" s="1" t="s">
        <v>3844</v>
      </c>
      <c r="I923" s="1" t="s">
        <v>568</v>
      </c>
      <c r="J923" s="1" t="s">
        <v>636</v>
      </c>
      <c r="K923">
        <v>0</v>
      </c>
      <c r="L923">
        <v>1</v>
      </c>
      <c r="M923">
        <v>77</v>
      </c>
      <c r="N923" s="21">
        <v>44415.628849618057</v>
      </c>
      <c r="O923" s="21">
        <v>44415.628849618057</v>
      </c>
      <c r="P923" s="21"/>
      <c r="Q923">
        <v>0</v>
      </c>
      <c r="T923">
        <v>60</v>
      </c>
    </row>
    <row r="924" spans="1:20" x14ac:dyDescent="0.25">
      <c r="A924">
        <v>924</v>
      </c>
      <c r="B924" s="1" t="s">
        <v>3845</v>
      </c>
      <c r="C924" s="1" t="s">
        <v>3846</v>
      </c>
      <c r="D924" s="1" t="s">
        <v>3847</v>
      </c>
      <c r="E924" s="1"/>
      <c r="F924" s="1"/>
      <c r="G924" s="1" t="s">
        <v>634</v>
      </c>
      <c r="H924" s="1" t="s">
        <v>3848</v>
      </c>
      <c r="I924" s="1" t="s">
        <v>782</v>
      </c>
      <c r="J924" s="1" t="s">
        <v>641</v>
      </c>
      <c r="K924">
        <v>0</v>
      </c>
      <c r="L924">
        <v>1</v>
      </c>
      <c r="M924">
        <v>4843</v>
      </c>
      <c r="N924" s="21">
        <v>44415.628849618057</v>
      </c>
      <c r="O924" s="21">
        <v>44415.628849618057</v>
      </c>
      <c r="P924" s="21"/>
      <c r="Q924">
        <v>0</v>
      </c>
      <c r="T924">
        <v>60</v>
      </c>
    </row>
    <row r="925" spans="1:20" x14ac:dyDescent="0.25">
      <c r="A925">
        <v>925</v>
      </c>
      <c r="B925" s="1" t="s">
        <v>3849</v>
      </c>
      <c r="C925" s="1"/>
      <c r="D925" s="1" t="s">
        <v>3850</v>
      </c>
      <c r="E925" s="1"/>
      <c r="F925" s="1"/>
      <c r="G925" s="1" t="s">
        <v>644</v>
      </c>
      <c r="H925" s="1" t="s">
        <v>3851</v>
      </c>
      <c r="I925" s="1"/>
      <c r="J925" s="1"/>
      <c r="K925">
        <v>0</v>
      </c>
      <c r="L925">
        <v>0</v>
      </c>
      <c r="N925" s="21">
        <v>44415.628849618057</v>
      </c>
      <c r="O925" s="21">
        <v>44415.628849618057</v>
      </c>
      <c r="P925" s="21"/>
      <c r="Q925">
        <v>0</v>
      </c>
      <c r="T925">
        <v>60</v>
      </c>
    </row>
    <row r="926" spans="1:20" x14ac:dyDescent="0.25">
      <c r="A926">
        <v>926</v>
      </c>
      <c r="B926" s="1" t="s">
        <v>3852</v>
      </c>
      <c r="C926" s="1" t="s">
        <v>3853</v>
      </c>
      <c r="D926" s="1" t="s">
        <v>3854</v>
      </c>
      <c r="E926" s="1"/>
      <c r="F926" s="1"/>
      <c r="G926" s="1" t="s">
        <v>644</v>
      </c>
      <c r="H926" s="1" t="s">
        <v>3855</v>
      </c>
      <c r="I926" s="1" t="s">
        <v>568</v>
      </c>
      <c r="J926" s="1" t="s">
        <v>636</v>
      </c>
      <c r="K926">
        <v>0</v>
      </c>
      <c r="L926">
        <v>1</v>
      </c>
      <c r="M926">
        <v>98</v>
      </c>
      <c r="N926" s="21">
        <v>44415.628849618057</v>
      </c>
      <c r="O926" s="21">
        <v>44415.628849618057</v>
      </c>
      <c r="P926" s="21"/>
      <c r="Q926">
        <v>0</v>
      </c>
      <c r="T926">
        <v>60</v>
      </c>
    </row>
    <row r="927" spans="1:20" x14ac:dyDescent="0.25">
      <c r="A927">
        <v>927</v>
      </c>
      <c r="B927" s="1" t="s">
        <v>3856</v>
      </c>
      <c r="C927" s="1"/>
      <c r="D927" s="1" t="s">
        <v>3857</v>
      </c>
      <c r="E927" s="1"/>
      <c r="F927" s="1"/>
      <c r="G927" s="1" t="s">
        <v>713</v>
      </c>
      <c r="H927" s="1" t="s">
        <v>3858</v>
      </c>
      <c r="I927" s="1"/>
      <c r="J927" s="1"/>
      <c r="K927">
        <v>0</v>
      </c>
      <c r="L927">
        <v>0</v>
      </c>
      <c r="N927" s="21">
        <v>44415.628849618057</v>
      </c>
      <c r="O927" s="21">
        <v>44415.628849618057</v>
      </c>
      <c r="P927" s="21"/>
      <c r="Q927">
        <v>0</v>
      </c>
      <c r="T927">
        <v>60</v>
      </c>
    </row>
    <row r="928" spans="1:20" x14ac:dyDescent="0.25">
      <c r="A928">
        <v>928</v>
      </c>
      <c r="B928" s="1" t="s">
        <v>3859</v>
      </c>
      <c r="C928" s="1"/>
      <c r="D928" s="1" t="s">
        <v>3860</v>
      </c>
      <c r="E928" s="1"/>
      <c r="F928" s="1"/>
      <c r="G928" s="1"/>
      <c r="H928" s="1" t="s">
        <v>3861</v>
      </c>
      <c r="I928" s="1"/>
      <c r="J928" s="1"/>
      <c r="K928">
        <v>0</v>
      </c>
      <c r="L928">
        <v>0</v>
      </c>
      <c r="N928" s="21">
        <v>44415.628849618057</v>
      </c>
      <c r="O928" s="21">
        <v>44415.628849618057</v>
      </c>
      <c r="P928" s="21"/>
      <c r="Q928">
        <v>0</v>
      </c>
      <c r="T928">
        <v>60</v>
      </c>
    </row>
    <row r="929" spans="1:20" x14ac:dyDescent="0.25">
      <c r="A929">
        <v>929</v>
      </c>
      <c r="B929" s="1" t="s">
        <v>3862</v>
      </c>
      <c r="C929" s="1"/>
      <c r="D929" s="1" t="s">
        <v>3863</v>
      </c>
      <c r="E929" s="1"/>
      <c r="F929" s="1"/>
      <c r="G929" s="1" t="s">
        <v>644</v>
      </c>
      <c r="H929" s="1" t="s">
        <v>3864</v>
      </c>
      <c r="I929" s="1"/>
      <c r="J929" s="1"/>
      <c r="K929">
        <v>0</v>
      </c>
      <c r="L929">
        <v>0</v>
      </c>
      <c r="N929" s="21">
        <v>44415.628849618057</v>
      </c>
      <c r="O929" s="21">
        <v>44415.628849618057</v>
      </c>
      <c r="P929" s="21"/>
      <c r="Q929">
        <v>0</v>
      </c>
      <c r="T929">
        <v>60</v>
      </c>
    </row>
    <row r="930" spans="1:20" x14ac:dyDescent="0.25">
      <c r="A930">
        <v>930</v>
      </c>
      <c r="B930" s="1" t="s">
        <v>3865</v>
      </c>
      <c r="C930" s="1"/>
      <c r="D930" s="1" t="s">
        <v>3866</v>
      </c>
      <c r="E930" s="1"/>
      <c r="F930" s="1"/>
      <c r="G930" s="1"/>
      <c r="H930" s="1" t="s">
        <v>3867</v>
      </c>
      <c r="I930" s="1"/>
      <c r="J930" s="1"/>
      <c r="K930">
        <v>0</v>
      </c>
      <c r="L930">
        <v>0</v>
      </c>
      <c r="N930" s="21">
        <v>44415.628849618057</v>
      </c>
      <c r="O930" s="21">
        <v>44415.628849618057</v>
      </c>
      <c r="P930" s="21"/>
      <c r="Q930">
        <v>0</v>
      </c>
      <c r="T930">
        <v>60</v>
      </c>
    </row>
    <row r="931" spans="1:20" x14ac:dyDescent="0.25">
      <c r="A931">
        <v>931</v>
      </c>
      <c r="B931" s="1" t="s">
        <v>3868</v>
      </c>
      <c r="C931" s="1"/>
      <c r="D931" s="1" t="s">
        <v>3869</v>
      </c>
      <c r="E931" s="1"/>
      <c r="F931" s="1"/>
      <c r="G931" s="1" t="s">
        <v>644</v>
      </c>
      <c r="H931" s="1" t="s">
        <v>3870</v>
      </c>
      <c r="I931" s="1" t="s">
        <v>3871</v>
      </c>
      <c r="J931" s="1" t="s">
        <v>641</v>
      </c>
      <c r="K931">
        <v>0</v>
      </c>
      <c r="L931">
        <v>0</v>
      </c>
      <c r="N931" s="21">
        <v>44415.628849618057</v>
      </c>
      <c r="O931" s="21">
        <v>44415.628849618057</v>
      </c>
      <c r="P931" s="21"/>
      <c r="Q931">
        <v>0</v>
      </c>
      <c r="T931">
        <v>60</v>
      </c>
    </row>
    <row r="932" spans="1:20" x14ac:dyDescent="0.25">
      <c r="A932">
        <v>932</v>
      </c>
      <c r="B932" s="1" t="s">
        <v>3872</v>
      </c>
      <c r="C932" s="1"/>
      <c r="D932" s="1" t="s">
        <v>3873</v>
      </c>
      <c r="E932" s="1"/>
      <c r="F932" s="1"/>
      <c r="G932" s="1"/>
      <c r="H932" s="1" t="s">
        <v>3874</v>
      </c>
      <c r="I932" s="1"/>
      <c r="J932" s="1"/>
      <c r="K932">
        <v>0</v>
      </c>
      <c r="L932">
        <v>0</v>
      </c>
      <c r="N932" s="21">
        <v>44415.628849618057</v>
      </c>
      <c r="O932" s="21">
        <v>44415.628849618057</v>
      </c>
      <c r="P932" s="21"/>
      <c r="Q932">
        <v>0</v>
      </c>
      <c r="T932">
        <v>60</v>
      </c>
    </row>
    <row r="933" spans="1:20" x14ac:dyDescent="0.25">
      <c r="A933">
        <v>933</v>
      </c>
      <c r="B933" s="1" t="s">
        <v>3875</v>
      </c>
      <c r="C933" s="1" t="s">
        <v>3876</v>
      </c>
      <c r="D933" s="1" t="s">
        <v>3877</v>
      </c>
      <c r="E933" s="1"/>
      <c r="F933" s="1"/>
      <c r="G933" s="1" t="s">
        <v>634</v>
      </c>
      <c r="H933" s="1" t="s">
        <v>3878</v>
      </c>
      <c r="I933" s="1" t="s">
        <v>568</v>
      </c>
      <c r="J933" s="1" t="s">
        <v>636</v>
      </c>
      <c r="K933">
        <v>0</v>
      </c>
      <c r="L933">
        <v>1</v>
      </c>
      <c r="M933">
        <v>118</v>
      </c>
      <c r="N933" s="21">
        <v>44415.628849618057</v>
      </c>
      <c r="O933" s="21">
        <v>44415.628849618057</v>
      </c>
      <c r="P933" s="21"/>
      <c r="Q933">
        <v>0</v>
      </c>
      <c r="T933">
        <v>60</v>
      </c>
    </row>
    <row r="934" spans="1:20" x14ac:dyDescent="0.25">
      <c r="A934">
        <v>934</v>
      </c>
      <c r="B934" s="1" t="s">
        <v>3879</v>
      </c>
      <c r="C934" s="1"/>
      <c r="D934" s="1" t="s">
        <v>3880</v>
      </c>
      <c r="E934" s="1"/>
      <c r="F934" s="1"/>
      <c r="G934" s="1"/>
      <c r="H934" s="1" t="s">
        <v>3881</v>
      </c>
      <c r="I934" s="1"/>
      <c r="J934" s="1"/>
      <c r="K934">
        <v>0</v>
      </c>
      <c r="L934">
        <v>0</v>
      </c>
      <c r="N934" s="21">
        <v>44415.628849618057</v>
      </c>
      <c r="O934" s="21">
        <v>44415.628849618057</v>
      </c>
      <c r="P934" s="21"/>
      <c r="Q934">
        <v>0</v>
      </c>
      <c r="T934">
        <v>60</v>
      </c>
    </row>
    <row r="935" spans="1:20" x14ac:dyDescent="0.25">
      <c r="A935">
        <v>935</v>
      </c>
      <c r="B935" s="1" t="s">
        <v>3882</v>
      </c>
      <c r="C935" s="1" t="s">
        <v>3883</v>
      </c>
      <c r="D935" s="1" t="s">
        <v>3884</v>
      </c>
      <c r="E935" s="1"/>
      <c r="F935" s="1"/>
      <c r="G935" s="1" t="s">
        <v>713</v>
      </c>
      <c r="H935" s="1" t="s">
        <v>3885</v>
      </c>
      <c r="I935" s="1"/>
      <c r="J935" s="1" t="s">
        <v>641</v>
      </c>
      <c r="K935">
        <v>1</v>
      </c>
      <c r="L935">
        <v>0</v>
      </c>
      <c r="N935" s="21">
        <v>44415.628849618057</v>
      </c>
      <c r="O935" s="21">
        <v>44415.628849618057</v>
      </c>
      <c r="P935" s="21"/>
      <c r="Q935">
        <v>0</v>
      </c>
      <c r="T935">
        <v>60</v>
      </c>
    </row>
    <row r="936" spans="1:20" x14ac:dyDescent="0.25">
      <c r="A936">
        <v>936</v>
      </c>
      <c r="B936" s="1" t="s">
        <v>3882</v>
      </c>
      <c r="C936" s="1"/>
      <c r="D936" s="1" t="s">
        <v>3886</v>
      </c>
      <c r="E936" s="1"/>
      <c r="F936" s="1"/>
      <c r="G936" s="1"/>
      <c r="H936" s="1" t="s">
        <v>3887</v>
      </c>
      <c r="I936" s="1"/>
      <c r="J936" s="1"/>
      <c r="K936">
        <v>0</v>
      </c>
      <c r="L936">
        <v>0</v>
      </c>
      <c r="N936" s="21">
        <v>44415.628849618057</v>
      </c>
      <c r="O936" s="21">
        <v>44415.628849618057</v>
      </c>
      <c r="P936" s="21"/>
      <c r="Q936">
        <v>0</v>
      </c>
      <c r="T936">
        <v>60</v>
      </c>
    </row>
    <row r="937" spans="1:20" x14ac:dyDescent="0.25">
      <c r="A937">
        <v>937</v>
      </c>
      <c r="B937" s="1" t="s">
        <v>3888</v>
      </c>
      <c r="C937" s="1"/>
      <c r="D937" s="1" t="s">
        <v>3889</v>
      </c>
      <c r="E937" s="1"/>
      <c r="F937" s="1"/>
      <c r="G937" s="1" t="s">
        <v>634</v>
      </c>
      <c r="H937" s="1" t="s">
        <v>3890</v>
      </c>
      <c r="I937" s="1"/>
      <c r="J937" s="1"/>
      <c r="K937">
        <v>0</v>
      </c>
      <c r="L937">
        <v>0</v>
      </c>
      <c r="N937" s="21">
        <v>44415.628849618057</v>
      </c>
      <c r="O937" s="21">
        <v>44415.628849618057</v>
      </c>
      <c r="P937" s="21"/>
      <c r="Q937">
        <v>0</v>
      </c>
      <c r="T937">
        <v>60</v>
      </c>
    </row>
    <row r="938" spans="1:20" x14ac:dyDescent="0.25">
      <c r="A938">
        <v>938</v>
      </c>
      <c r="B938" s="1" t="s">
        <v>3891</v>
      </c>
      <c r="C938" s="1"/>
      <c r="D938" s="1" t="s">
        <v>3892</v>
      </c>
      <c r="E938" s="1"/>
      <c r="F938" s="1" t="s">
        <v>3893</v>
      </c>
      <c r="G938" s="1" t="s">
        <v>713</v>
      </c>
      <c r="H938" s="1" t="s">
        <v>3894</v>
      </c>
      <c r="I938" s="1"/>
      <c r="J938" s="1"/>
      <c r="K938">
        <v>0</v>
      </c>
      <c r="L938">
        <v>0</v>
      </c>
      <c r="N938" s="21">
        <v>44415.628849618057</v>
      </c>
      <c r="O938" s="21">
        <v>44415.628849618057</v>
      </c>
      <c r="P938" s="21"/>
      <c r="Q938">
        <v>0</v>
      </c>
      <c r="T938">
        <v>60</v>
      </c>
    </row>
    <row r="939" spans="1:20" x14ac:dyDescent="0.25">
      <c r="A939">
        <v>939</v>
      </c>
      <c r="B939" s="1" t="s">
        <v>3895</v>
      </c>
      <c r="C939" s="1"/>
      <c r="D939" s="1" t="s">
        <v>3896</v>
      </c>
      <c r="E939" s="1"/>
      <c r="F939" s="1"/>
      <c r="G939" s="1" t="s">
        <v>634</v>
      </c>
      <c r="H939" s="1" t="s">
        <v>3897</v>
      </c>
      <c r="I939" s="1" t="s">
        <v>753</v>
      </c>
      <c r="J939" s="1"/>
      <c r="K939">
        <v>0</v>
      </c>
      <c r="L939">
        <v>0</v>
      </c>
      <c r="N939" s="21">
        <v>44415.628849618057</v>
      </c>
      <c r="O939" s="21">
        <v>44415.628849618057</v>
      </c>
      <c r="P939" s="21"/>
      <c r="Q939">
        <v>0</v>
      </c>
      <c r="T939">
        <v>60</v>
      </c>
    </row>
    <row r="940" spans="1:20" x14ac:dyDescent="0.25">
      <c r="A940">
        <v>940</v>
      </c>
      <c r="B940" s="1" t="s">
        <v>3898</v>
      </c>
      <c r="C940" s="1" t="s">
        <v>3899</v>
      </c>
      <c r="D940" s="1" t="s">
        <v>3900</v>
      </c>
      <c r="E940" s="1" t="s">
        <v>3901</v>
      </c>
      <c r="F940" s="1"/>
      <c r="G940" s="1" t="s">
        <v>644</v>
      </c>
      <c r="H940" s="1" t="s">
        <v>3902</v>
      </c>
      <c r="I940" s="1" t="s">
        <v>568</v>
      </c>
      <c r="J940" s="1" t="s">
        <v>636</v>
      </c>
      <c r="K940">
        <v>0</v>
      </c>
      <c r="L940">
        <v>1</v>
      </c>
      <c r="M940">
        <v>100</v>
      </c>
      <c r="N940" s="21">
        <v>44415.628849618057</v>
      </c>
      <c r="O940" s="21">
        <v>44415.628849618057</v>
      </c>
      <c r="P940" s="21"/>
      <c r="Q940">
        <v>0</v>
      </c>
      <c r="T940">
        <v>60</v>
      </c>
    </row>
    <row r="941" spans="1:20" x14ac:dyDescent="0.25">
      <c r="A941">
        <v>941</v>
      </c>
      <c r="B941" s="1" t="s">
        <v>3903</v>
      </c>
      <c r="C941" s="1"/>
      <c r="D941" s="1" t="s">
        <v>3904</v>
      </c>
      <c r="E941" s="1"/>
      <c r="F941" s="1"/>
      <c r="G941" s="1" t="s">
        <v>713</v>
      </c>
      <c r="H941" s="1" t="s">
        <v>3905</v>
      </c>
      <c r="I941" s="1"/>
      <c r="J941" s="1"/>
      <c r="K941">
        <v>0</v>
      </c>
      <c r="L941">
        <v>0</v>
      </c>
      <c r="N941" s="21">
        <v>44415.628849618057</v>
      </c>
      <c r="O941" s="21">
        <v>44415.628849618057</v>
      </c>
      <c r="P941" s="21"/>
      <c r="Q941">
        <v>0</v>
      </c>
      <c r="T941">
        <v>60</v>
      </c>
    </row>
    <row r="942" spans="1:20" x14ac:dyDescent="0.25">
      <c r="A942">
        <v>942</v>
      </c>
      <c r="B942" s="1" t="s">
        <v>3906</v>
      </c>
      <c r="C942" s="1"/>
      <c r="D942" s="1" t="s">
        <v>3907</v>
      </c>
      <c r="E942" s="1"/>
      <c r="F942" s="1"/>
      <c r="G942" s="1"/>
      <c r="H942" s="1" t="s">
        <v>3908</v>
      </c>
      <c r="I942" s="1"/>
      <c r="J942" s="1"/>
      <c r="K942">
        <v>0</v>
      </c>
      <c r="L942">
        <v>0</v>
      </c>
      <c r="N942" s="21">
        <v>44415.628849618057</v>
      </c>
      <c r="O942" s="21">
        <v>44415.628849618057</v>
      </c>
      <c r="P942" s="21"/>
      <c r="Q942">
        <v>0</v>
      </c>
      <c r="T942">
        <v>60</v>
      </c>
    </row>
    <row r="943" spans="1:20" x14ac:dyDescent="0.25">
      <c r="A943">
        <v>943</v>
      </c>
      <c r="B943" s="1" t="s">
        <v>3909</v>
      </c>
      <c r="C943" s="1" t="s">
        <v>3910</v>
      </c>
      <c r="D943" s="1" t="s">
        <v>3911</v>
      </c>
      <c r="E943" s="1"/>
      <c r="F943" s="1"/>
      <c r="G943" s="1" t="s">
        <v>713</v>
      </c>
      <c r="H943" s="1" t="s">
        <v>3912</v>
      </c>
      <c r="I943" s="1"/>
      <c r="J943" s="1" t="s">
        <v>641</v>
      </c>
      <c r="K943">
        <v>1</v>
      </c>
      <c r="L943">
        <v>0</v>
      </c>
      <c r="N943" s="21">
        <v>44415.628849618057</v>
      </c>
      <c r="O943" s="21">
        <v>44415.628849618057</v>
      </c>
      <c r="P943" s="21"/>
      <c r="Q943">
        <v>0</v>
      </c>
      <c r="T943">
        <v>60</v>
      </c>
    </row>
    <row r="944" spans="1:20" x14ac:dyDescent="0.25">
      <c r="A944">
        <v>944</v>
      </c>
      <c r="B944" s="1" t="s">
        <v>3909</v>
      </c>
      <c r="C944" s="1" t="s">
        <v>3913</v>
      </c>
      <c r="D944" s="1" t="s">
        <v>3914</v>
      </c>
      <c r="E944" s="1"/>
      <c r="F944" s="1" t="s">
        <v>3915</v>
      </c>
      <c r="G944" s="1"/>
      <c r="H944" s="1" t="s">
        <v>3916</v>
      </c>
      <c r="I944" s="1"/>
      <c r="J944" s="1" t="s">
        <v>636</v>
      </c>
      <c r="K944">
        <v>1</v>
      </c>
      <c r="L944">
        <v>0</v>
      </c>
      <c r="N944" s="21">
        <v>44415.628849618057</v>
      </c>
      <c r="O944" s="21">
        <v>44415.628849618057</v>
      </c>
      <c r="P944" s="21"/>
      <c r="Q944">
        <v>0</v>
      </c>
      <c r="T944">
        <v>60</v>
      </c>
    </row>
    <row r="945" spans="1:20" x14ac:dyDescent="0.25">
      <c r="A945">
        <v>945</v>
      </c>
      <c r="B945" s="1" t="s">
        <v>3917</v>
      </c>
      <c r="C945" s="1"/>
      <c r="D945" s="1" t="s">
        <v>3918</v>
      </c>
      <c r="E945" s="1"/>
      <c r="F945" s="1"/>
      <c r="G945" s="1"/>
      <c r="H945" s="1" t="s">
        <v>3919</v>
      </c>
      <c r="I945" s="1"/>
      <c r="J945" s="1"/>
      <c r="K945">
        <v>0</v>
      </c>
      <c r="L945">
        <v>0</v>
      </c>
      <c r="N945" s="21">
        <v>44415.628849618057</v>
      </c>
      <c r="O945" s="21">
        <v>44415.628849618057</v>
      </c>
      <c r="P945" s="21"/>
      <c r="Q945">
        <v>0</v>
      </c>
      <c r="T945">
        <v>60</v>
      </c>
    </row>
    <row r="946" spans="1:20" x14ac:dyDescent="0.25">
      <c r="A946">
        <v>946</v>
      </c>
      <c r="B946" s="1" t="s">
        <v>3920</v>
      </c>
      <c r="C946" s="1" t="s">
        <v>3921</v>
      </c>
      <c r="D946" s="1" t="s">
        <v>3922</v>
      </c>
      <c r="E946" s="1"/>
      <c r="F946" s="1"/>
      <c r="G946" s="1" t="s">
        <v>713</v>
      </c>
      <c r="H946" s="1" t="s">
        <v>3923</v>
      </c>
      <c r="I946" s="1"/>
      <c r="J946" s="1"/>
      <c r="K946">
        <v>1</v>
      </c>
      <c r="L946">
        <v>0</v>
      </c>
      <c r="N946" s="21">
        <v>44415.628849618057</v>
      </c>
      <c r="O946" s="21">
        <v>44415.628849618057</v>
      </c>
      <c r="P946" s="21"/>
      <c r="Q946">
        <v>0</v>
      </c>
      <c r="T946">
        <v>60</v>
      </c>
    </row>
    <row r="947" spans="1:20" x14ac:dyDescent="0.25">
      <c r="A947">
        <v>947</v>
      </c>
      <c r="B947" s="1" t="s">
        <v>3924</v>
      </c>
      <c r="C947" s="1"/>
      <c r="D947" s="1" t="s">
        <v>3925</v>
      </c>
      <c r="E947" s="1"/>
      <c r="F947" s="1"/>
      <c r="G947" s="1"/>
      <c r="H947" s="1" t="s">
        <v>3926</v>
      </c>
      <c r="I947" s="1"/>
      <c r="J947" s="1"/>
      <c r="K947">
        <v>0</v>
      </c>
      <c r="L947">
        <v>0</v>
      </c>
      <c r="N947" s="21">
        <v>44415.628849618057</v>
      </c>
      <c r="O947" s="21">
        <v>44415.628849618057</v>
      </c>
      <c r="P947" s="21"/>
      <c r="Q947">
        <v>0</v>
      </c>
      <c r="T947">
        <v>60</v>
      </c>
    </row>
    <row r="948" spans="1:20" x14ac:dyDescent="0.25">
      <c r="A948">
        <v>948</v>
      </c>
      <c r="B948" s="1" t="s">
        <v>3927</v>
      </c>
      <c r="C948" s="1"/>
      <c r="D948" s="1" t="s">
        <v>3928</v>
      </c>
      <c r="E948" s="1"/>
      <c r="F948" s="1" t="s">
        <v>3929</v>
      </c>
      <c r="G948" s="1" t="s">
        <v>713</v>
      </c>
      <c r="H948" s="1" t="s">
        <v>3930</v>
      </c>
      <c r="I948" s="1"/>
      <c r="J948" s="1"/>
      <c r="K948">
        <v>1</v>
      </c>
      <c r="L948">
        <v>1</v>
      </c>
      <c r="N948" s="21">
        <v>44415.628849618057</v>
      </c>
      <c r="O948" s="21">
        <v>44415.628849618057</v>
      </c>
      <c r="P948" s="21"/>
      <c r="Q948">
        <v>0</v>
      </c>
      <c r="T948">
        <v>60</v>
      </c>
    </row>
    <row r="949" spans="1:20" x14ac:dyDescent="0.25">
      <c r="A949">
        <v>949</v>
      </c>
      <c r="B949" s="1" t="s">
        <v>3931</v>
      </c>
      <c r="C949" s="1"/>
      <c r="D949" s="1" t="s">
        <v>3932</v>
      </c>
      <c r="E949" s="1"/>
      <c r="F949" s="1"/>
      <c r="G949" s="1" t="s">
        <v>644</v>
      </c>
      <c r="H949" s="1" t="s">
        <v>3933</v>
      </c>
      <c r="I949" s="1"/>
      <c r="J949" s="1"/>
      <c r="K949">
        <v>0</v>
      </c>
      <c r="L949">
        <v>0</v>
      </c>
      <c r="N949" s="21">
        <v>44415.628849618057</v>
      </c>
      <c r="O949" s="21">
        <v>44415.628849618057</v>
      </c>
      <c r="P949" s="21"/>
      <c r="Q949">
        <v>0</v>
      </c>
      <c r="T949">
        <v>60</v>
      </c>
    </row>
    <row r="950" spans="1:20" x14ac:dyDescent="0.25">
      <c r="A950">
        <v>950</v>
      </c>
      <c r="B950" s="1" t="s">
        <v>3934</v>
      </c>
      <c r="C950" s="1"/>
      <c r="D950" s="1" t="s">
        <v>3935</v>
      </c>
      <c r="E950" s="1"/>
      <c r="F950" s="1"/>
      <c r="G950" s="1" t="s">
        <v>644</v>
      </c>
      <c r="H950" s="1" t="s">
        <v>3936</v>
      </c>
      <c r="I950" s="1" t="s">
        <v>975</v>
      </c>
      <c r="J950" s="1" t="s">
        <v>641</v>
      </c>
      <c r="K950">
        <v>0</v>
      </c>
      <c r="L950">
        <v>0</v>
      </c>
      <c r="N950" s="21">
        <v>44415.628849618057</v>
      </c>
      <c r="O950" s="21">
        <v>44415.628849618057</v>
      </c>
      <c r="P950" s="21"/>
      <c r="Q950">
        <v>0</v>
      </c>
      <c r="T950">
        <v>60</v>
      </c>
    </row>
    <row r="951" spans="1:20" x14ac:dyDescent="0.25">
      <c r="A951">
        <v>951</v>
      </c>
      <c r="B951" s="1" t="s">
        <v>3937</v>
      </c>
      <c r="C951" s="1" t="s">
        <v>3938</v>
      </c>
      <c r="D951" s="1" t="s">
        <v>3939</v>
      </c>
      <c r="E951" s="1"/>
      <c r="F951" s="1"/>
      <c r="G951" s="1" t="s">
        <v>735</v>
      </c>
      <c r="H951" s="1" t="s">
        <v>3940</v>
      </c>
      <c r="I951" s="1" t="s">
        <v>3941</v>
      </c>
      <c r="J951" s="1" t="s">
        <v>738</v>
      </c>
      <c r="K951">
        <v>1</v>
      </c>
      <c r="L951">
        <v>0</v>
      </c>
      <c r="N951" s="21">
        <v>44415.628849618057</v>
      </c>
      <c r="O951" s="21">
        <v>44415.628849618057</v>
      </c>
      <c r="P951" s="21"/>
      <c r="Q951">
        <v>0</v>
      </c>
      <c r="T951">
        <v>60</v>
      </c>
    </row>
    <row r="952" spans="1:20" x14ac:dyDescent="0.25">
      <c r="A952">
        <v>952</v>
      </c>
      <c r="B952" s="1" t="s">
        <v>3942</v>
      </c>
      <c r="C952" s="1"/>
      <c r="D952" s="1" t="s">
        <v>3943</v>
      </c>
      <c r="E952" s="1"/>
      <c r="F952" s="1" t="s">
        <v>3944</v>
      </c>
      <c r="G952" s="1" t="s">
        <v>713</v>
      </c>
      <c r="H952" s="1" t="s">
        <v>3945</v>
      </c>
      <c r="I952" s="1"/>
      <c r="J952" s="1" t="s">
        <v>641</v>
      </c>
      <c r="K952">
        <v>0</v>
      </c>
      <c r="L952">
        <v>0</v>
      </c>
      <c r="N952" s="21">
        <v>44415.628849618057</v>
      </c>
      <c r="O952" s="21">
        <v>44415.628849618057</v>
      </c>
      <c r="P952" s="21"/>
      <c r="Q952">
        <v>0</v>
      </c>
      <c r="T952">
        <v>60</v>
      </c>
    </row>
    <row r="953" spans="1:20" x14ac:dyDescent="0.25">
      <c r="A953">
        <v>953</v>
      </c>
      <c r="B953" s="1" t="s">
        <v>3946</v>
      </c>
      <c r="C953" s="1" t="s">
        <v>3947</v>
      </c>
      <c r="D953" s="1" t="s">
        <v>3948</v>
      </c>
      <c r="E953" s="1"/>
      <c r="F953" s="1" t="s">
        <v>3949</v>
      </c>
      <c r="G953" s="1" t="s">
        <v>713</v>
      </c>
      <c r="H953" s="1" t="s">
        <v>3950</v>
      </c>
      <c r="I953" s="1"/>
      <c r="J953" s="1" t="s">
        <v>641</v>
      </c>
      <c r="K953">
        <v>0</v>
      </c>
      <c r="L953">
        <v>1</v>
      </c>
      <c r="M953">
        <v>5110</v>
      </c>
      <c r="N953" s="21">
        <v>44415.628849618057</v>
      </c>
      <c r="O953" s="21">
        <v>44415.628849618057</v>
      </c>
      <c r="P953" s="21"/>
      <c r="Q953">
        <v>0</v>
      </c>
      <c r="T953">
        <v>60</v>
      </c>
    </row>
    <row r="954" spans="1:20" x14ac:dyDescent="0.25">
      <c r="A954">
        <v>954</v>
      </c>
      <c r="B954" s="1" t="s">
        <v>3951</v>
      </c>
      <c r="C954" s="1"/>
      <c r="D954" s="1" t="s">
        <v>3952</v>
      </c>
      <c r="E954" s="1"/>
      <c r="F954" s="1"/>
      <c r="G954" s="1" t="s">
        <v>634</v>
      </c>
      <c r="H954" s="1" t="s">
        <v>3953</v>
      </c>
      <c r="I954" s="1" t="s">
        <v>568</v>
      </c>
      <c r="J954" s="1" t="s">
        <v>641</v>
      </c>
      <c r="K954">
        <v>0</v>
      </c>
      <c r="L954">
        <v>0</v>
      </c>
      <c r="N954" s="21">
        <v>44415.628849618057</v>
      </c>
      <c r="O954" s="21">
        <v>44415.628849618057</v>
      </c>
      <c r="P954" s="21"/>
      <c r="Q954">
        <v>0</v>
      </c>
      <c r="T954">
        <v>60</v>
      </c>
    </row>
    <row r="955" spans="1:20" x14ac:dyDescent="0.25">
      <c r="A955">
        <v>955</v>
      </c>
      <c r="B955" s="1" t="s">
        <v>3954</v>
      </c>
      <c r="C955" s="1" t="s">
        <v>3955</v>
      </c>
      <c r="D955" s="1" t="s">
        <v>3956</v>
      </c>
      <c r="E955" s="1"/>
      <c r="F955" s="1"/>
      <c r="G955" s="1" t="s">
        <v>713</v>
      </c>
      <c r="H955" s="1" t="s">
        <v>3957</v>
      </c>
      <c r="I955" s="1"/>
      <c r="J955" s="1" t="s">
        <v>641</v>
      </c>
      <c r="K955">
        <v>1</v>
      </c>
      <c r="L955">
        <v>0</v>
      </c>
      <c r="N955" s="21">
        <v>44415.628849618057</v>
      </c>
      <c r="O955" s="21">
        <v>44415.628849618057</v>
      </c>
      <c r="P955" s="21"/>
      <c r="Q955">
        <v>0</v>
      </c>
      <c r="T955">
        <v>60</v>
      </c>
    </row>
    <row r="956" spans="1:20" x14ac:dyDescent="0.25">
      <c r="A956">
        <v>956</v>
      </c>
      <c r="B956" s="1" t="s">
        <v>3958</v>
      </c>
      <c r="C956" s="1"/>
      <c r="D956" s="1" t="s">
        <v>3959</v>
      </c>
      <c r="E956" s="1"/>
      <c r="F956" s="1"/>
      <c r="G956" s="1" t="s">
        <v>713</v>
      </c>
      <c r="H956" s="1" t="s">
        <v>3960</v>
      </c>
      <c r="I956" s="1"/>
      <c r="J956" s="1"/>
      <c r="K956">
        <v>0</v>
      </c>
      <c r="L956">
        <v>0</v>
      </c>
      <c r="N956" s="21">
        <v>44415.628849618057</v>
      </c>
      <c r="O956" s="21">
        <v>44415.628849618057</v>
      </c>
      <c r="P956" s="21"/>
      <c r="Q956">
        <v>0</v>
      </c>
      <c r="T956">
        <v>60</v>
      </c>
    </row>
    <row r="957" spans="1:20" x14ac:dyDescent="0.25">
      <c r="A957">
        <v>957</v>
      </c>
      <c r="B957" s="1" t="s">
        <v>3961</v>
      </c>
      <c r="C957" s="1"/>
      <c r="D957" s="1" t="s">
        <v>3962</v>
      </c>
      <c r="E957" s="1"/>
      <c r="F957" s="1"/>
      <c r="G957" s="1"/>
      <c r="H957" s="1" t="s">
        <v>3963</v>
      </c>
      <c r="I957" s="1"/>
      <c r="J957" s="1"/>
      <c r="K957">
        <v>0</v>
      </c>
      <c r="L957">
        <v>0</v>
      </c>
      <c r="N957" s="21">
        <v>44415.628849618057</v>
      </c>
      <c r="O957" s="21">
        <v>44415.628849618057</v>
      </c>
      <c r="P957" s="21"/>
      <c r="Q957">
        <v>0</v>
      </c>
      <c r="T957">
        <v>60</v>
      </c>
    </row>
    <row r="958" spans="1:20" x14ac:dyDescent="0.25">
      <c r="A958">
        <v>958</v>
      </c>
      <c r="B958" s="1" t="s">
        <v>3964</v>
      </c>
      <c r="C958" s="1" t="s">
        <v>3965</v>
      </c>
      <c r="D958" s="1" t="s">
        <v>3966</v>
      </c>
      <c r="E958" s="1" t="s">
        <v>3967</v>
      </c>
      <c r="F958" s="1"/>
      <c r="G958" s="1" t="s">
        <v>634</v>
      </c>
      <c r="H958" s="1" t="s">
        <v>3968</v>
      </c>
      <c r="I958" s="1" t="s">
        <v>568</v>
      </c>
      <c r="J958" s="1" t="s">
        <v>641</v>
      </c>
      <c r="K958">
        <v>0</v>
      </c>
      <c r="L958">
        <v>1</v>
      </c>
      <c r="M958">
        <v>94</v>
      </c>
      <c r="N958" s="21">
        <v>44415.628849618057</v>
      </c>
      <c r="O958" s="21">
        <v>44415.628849618057</v>
      </c>
      <c r="P958" s="21"/>
      <c r="Q958">
        <v>0</v>
      </c>
      <c r="T958">
        <v>60</v>
      </c>
    </row>
    <row r="959" spans="1:20" x14ac:dyDescent="0.25">
      <c r="A959">
        <v>959</v>
      </c>
      <c r="B959" s="1" t="s">
        <v>3969</v>
      </c>
      <c r="C959" s="1"/>
      <c r="D959" s="1" t="s">
        <v>3970</v>
      </c>
      <c r="E959" s="1"/>
      <c r="F959" s="1"/>
      <c r="G959" s="1" t="s">
        <v>644</v>
      </c>
      <c r="H959" s="1" t="s">
        <v>3971</v>
      </c>
      <c r="I959" s="1"/>
      <c r="J959" s="1"/>
      <c r="K959">
        <v>0</v>
      </c>
      <c r="L959">
        <v>0</v>
      </c>
      <c r="N959" s="21">
        <v>44415.628849618057</v>
      </c>
      <c r="O959" s="21">
        <v>44415.628849618057</v>
      </c>
      <c r="P959" s="21"/>
      <c r="Q959">
        <v>0</v>
      </c>
      <c r="T959">
        <v>60</v>
      </c>
    </row>
    <row r="960" spans="1:20" x14ac:dyDescent="0.25">
      <c r="A960">
        <v>960</v>
      </c>
      <c r="B960" s="1" t="s">
        <v>3972</v>
      </c>
      <c r="C960" s="1" t="s">
        <v>3973</v>
      </c>
      <c r="D960" s="1" t="s">
        <v>3974</v>
      </c>
      <c r="E960" s="1"/>
      <c r="F960" s="1"/>
      <c r="G960" s="1" t="s">
        <v>634</v>
      </c>
      <c r="H960" s="1" t="s">
        <v>3975</v>
      </c>
      <c r="I960" s="1" t="s">
        <v>568</v>
      </c>
      <c r="J960" s="1" t="s">
        <v>641</v>
      </c>
      <c r="K960">
        <v>0</v>
      </c>
      <c r="L960">
        <v>1</v>
      </c>
      <c r="M960">
        <v>4545</v>
      </c>
      <c r="N960" s="21">
        <v>44415.628849618057</v>
      </c>
      <c r="O960" s="21">
        <v>44415.628849618057</v>
      </c>
      <c r="P960" s="21"/>
      <c r="Q960">
        <v>0</v>
      </c>
      <c r="T960">
        <v>60</v>
      </c>
    </row>
    <row r="961" spans="1:20" x14ac:dyDescent="0.25">
      <c r="A961">
        <v>961</v>
      </c>
      <c r="B961" s="1" t="s">
        <v>3976</v>
      </c>
      <c r="C961" s="1"/>
      <c r="D961" s="1" t="s">
        <v>3977</v>
      </c>
      <c r="E961" s="1"/>
      <c r="F961" s="1"/>
      <c r="G961" s="1" t="s">
        <v>713</v>
      </c>
      <c r="H961" s="1" t="s">
        <v>3978</v>
      </c>
      <c r="I961" s="1"/>
      <c r="J961" s="1"/>
      <c r="K961">
        <v>0</v>
      </c>
      <c r="L961">
        <v>0</v>
      </c>
      <c r="N961" s="21">
        <v>44415.628849618057</v>
      </c>
      <c r="O961" s="21">
        <v>44415.628849618057</v>
      </c>
      <c r="P961" s="21"/>
      <c r="Q961">
        <v>0</v>
      </c>
      <c r="T961">
        <v>60</v>
      </c>
    </row>
    <row r="962" spans="1:20" x14ac:dyDescent="0.25">
      <c r="A962">
        <v>962</v>
      </c>
      <c r="B962" s="1" t="s">
        <v>3979</v>
      </c>
      <c r="C962" s="1"/>
      <c r="D962" s="1" t="s">
        <v>3980</v>
      </c>
      <c r="E962" s="1"/>
      <c r="F962" s="1"/>
      <c r="G962" s="1" t="s">
        <v>644</v>
      </c>
      <c r="H962" s="1" t="s">
        <v>3981</v>
      </c>
      <c r="I962" s="1"/>
      <c r="J962" s="1"/>
      <c r="K962">
        <v>0</v>
      </c>
      <c r="L962">
        <v>0</v>
      </c>
      <c r="N962" s="21">
        <v>44415.628849618057</v>
      </c>
      <c r="O962" s="21">
        <v>44415.628849618057</v>
      </c>
      <c r="P962" s="21"/>
      <c r="Q962">
        <v>0</v>
      </c>
      <c r="T962">
        <v>60</v>
      </c>
    </row>
    <row r="963" spans="1:20" x14ac:dyDescent="0.25">
      <c r="A963">
        <v>963</v>
      </c>
      <c r="B963" s="1" t="s">
        <v>3982</v>
      </c>
      <c r="C963" s="1"/>
      <c r="D963" s="1" t="s">
        <v>3983</v>
      </c>
      <c r="E963" s="1"/>
      <c r="F963" s="1"/>
      <c r="G963" s="1" t="s">
        <v>713</v>
      </c>
      <c r="H963" s="1" t="s">
        <v>3984</v>
      </c>
      <c r="I963" s="1"/>
      <c r="J963" s="1"/>
      <c r="K963">
        <v>0</v>
      </c>
      <c r="L963">
        <v>0</v>
      </c>
      <c r="N963" s="21">
        <v>44415.628849618057</v>
      </c>
      <c r="O963" s="21">
        <v>44415.628849618057</v>
      </c>
      <c r="P963" s="21"/>
      <c r="Q963">
        <v>0</v>
      </c>
      <c r="T963">
        <v>60</v>
      </c>
    </row>
    <row r="964" spans="1:20" x14ac:dyDescent="0.25">
      <c r="A964">
        <v>964</v>
      </c>
      <c r="B964" s="1" t="s">
        <v>3985</v>
      </c>
      <c r="C964" s="1"/>
      <c r="D964" s="1" t="s">
        <v>3986</v>
      </c>
      <c r="E964" s="1"/>
      <c r="F964" s="1"/>
      <c r="G964" s="1" t="s">
        <v>634</v>
      </c>
      <c r="H964" s="1" t="s">
        <v>2569</v>
      </c>
      <c r="I964" s="1"/>
      <c r="J964" s="1"/>
      <c r="K964">
        <v>0</v>
      </c>
      <c r="L964">
        <v>0</v>
      </c>
      <c r="N964" s="21">
        <v>44415.628849618057</v>
      </c>
      <c r="O964" s="21">
        <v>44415.628849618057</v>
      </c>
      <c r="P964" s="21"/>
      <c r="Q964">
        <v>0</v>
      </c>
      <c r="T964">
        <v>60</v>
      </c>
    </row>
    <row r="965" spans="1:20" x14ac:dyDescent="0.25">
      <c r="A965">
        <v>965</v>
      </c>
      <c r="B965" s="1" t="s">
        <v>3987</v>
      </c>
      <c r="C965" s="1" t="s">
        <v>3988</v>
      </c>
      <c r="D965" s="1" t="s">
        <v>3989</v>
      </c>
      <c r="E965" s="1" t="s">
        <v>3990</v>
      </c>
      <c r="F965" s="1"/>
      <c r="G965" s="1" t="s">
        <v>634</v>
      </c>
      <c r="H965" s="1" t="s">
        <v>3991</v>
      </c>
      <c r="I965" s="1" t="s">
        <v>568</v>
      </c>
      <c r="J965" s="1" t="s">
        <v>636</v>
      </c>
      <c r="K965">
        <v>0</v>
      </c>
      <c r="L965">
        <v>1</v>
      </c>
      <c r="M965">
        <v>2988</v>
      </c>
      <c r="N965" s="21">
        <v>44415.628849618057</v>
      </c>
      <c r="O965" s="21">
        <v>44415.628849618057</v>
      </c>
      <c r="P965" s="21"/>
      <c r="Q965">
        <v>0</v>
      </c>
      <c r="T965">
        <v>60</v>
      </c>
    </row>
    <row r="966" spans="1:20" x14ac:dyDescent="0.25">
      <c r="A966">
        <v>966</v>
      </c>
      <c r="B966" s="1" t="s">
        <v>3992</v>
      </c>
      <c r="C966" s="1" t="s">
        <v>3993</v>
      </c>
      <c r="D966" s="1" t="s">
        <v>3994</v>
      </c>
      <c r="E966" s="1"/>
      <c r="F966" s="1"/>
      <c r="G966" s="1" t="s">
        <v>634</v>
      </c>
      <c r="H966" s="1" t="s">
        <v>3995</v>
      </c>
      <c r="I966" s="1" t="s">
        <v>568</v>
      </c>
      <c r="J966" s="1" t="s">
        <v>636</v>
      </c>
      <c r="K966">
        <v>0</v>
      </c>
      <c r="L966">
        <v>1</v>
      </c>
      <c r="M966">
        <v>4539</v>
      </c>
      <c r="N966" s="21">
        <v>44415.628849618057</v>
      </c>
      <c r="O966" s="21">
        <v>44415.628849618057</v>
      </c>
      <c r="P966" s="21"/>
      <c r="Q966">
        <v>0</v>
      </c>
      <c r="T966">
        <v>60</v>
      </c>
    </row>
    <row r="967" spans="1:20" x14ac:dyDescent="0.25">
      <c r="A967">
        <v>967</v>
      </c>
      <c r="B967" s="1" t="s">
        <v>3996</v>
      </c>
      <c r="C967" s="1" t="s">
        <v>3997</v>
      </c>
      <c r="D967" s="1" t="s">
        <v>3998</v>
      </c>
      <c r="E967" s="1"/>
      <c r="F967" s="1"/>
      <c r="G967" s="1" t="s">
        <v>634</v>
      </c>
      <c r="H967" s="1" t="s">
        <v>3999</v>
      </c>
      <c r="I967" s="1" t="s">
        <v>753</v>
      </c>
      <c r="J967" s="1" t="s">
        <v>641</v>
      </c>
      <c r="K967">
        <v>0</v>
      </c>
      <c r="L967">
        <v>1</v>
      </c>
      <c r="M967">
        <v>4543</v>
      </c>
      <c r="N967" s="21">
        <v>44415.628849618057</v>
      </c>
      <c r="O967" s="21">
        <v>44415.628849618057</v>
      </c>
      <c r="P967" s="21"/>
      <c r="Q967">
        <v>0</v>
      </c>
      <c r="T967">
        <v>60</v>
      </c>
    </row>
    <row r="968" spans="1:20" x14ac:dyDescent="0.25">
      <c r="A968">
        <v>968</v>
      </c>
      <c r="B968" s="1" t="s">
        <v>4000</v>
      </c>
      <c r="C968" s="1"/>
      <c r="D968" s="1" t="s">
        <v>4001</v>
      </c>
      <c r="E968" s="1"/>
      <c r="F968" s="1"/>
      <c r="G968" s="1" t="s">
        <v>634</v>
      </c>
      <c r="H968" s="1" t="s">
        <v>4002</v>
      </c>
      <c r="I968" s="1" t="s">
        <v>4003</v>
      </c>
      <c r="J968" s="1" t="s">
        <v>641</v>
      </c>
      <c r="K968">
        <v>0</v>
      </c>
      <c r="L968">
        <v>0</v>
      </c>
      <c r="N968" s="21">
        <v>44415.628849618057</v>
      </c>
      <c r="O968" s="21">
        <v>44415.628849618057</v>
      </c>
      <c r="P968" s="21"/>
      <c r="Q968">
        <v>0</v>
      </c>
      <c r="T968">
        <v>60</v>
      </c>
    </row>
    <row r="969" spans="1:20" x14ac:dyDescent="0.25">
      <c r="A969">
        <v>969</v>
      </c>
      <c r="B969" s="1" t="s">
        <v>4004</v>
      </c>
      <c r="C969" s="1" t="s">
        <v>4005</v>
      </c>
      <c r="D969" s="1" t="s">
        <v>4006</v>
      </c>
      <c r="E969" s="1"/>
      <c r="F969" s="1"/>
      <c r="G969" s="1" t="s">
        <v>634</v>
      </c>
      <c r="H969" s="1" t="s">
        <v>4007</v>
      </c>
      <c r="I969" s="1" t="s">
        <v>568</v>
      </c>
      <c r="J969" s="1" t="s">
        <v>641</v>
      </c>
      <c r="K969">
        <v>0</v>
      </c>
      <c r="L969">
        <v>1</v>
      </c>
      <c r="M969">
        <v>41</v>
      </c>
      <c r="N969" s="21">
        <v>44415.628849618057</v>
      </c>
      <c r="O969" s="21">
        <v>44415.628849618057</v>
      </c>
      <c r="P969" s="21"/>
      <c r="Q969">
        <v>0</v>
      </c>
      <c r="T969">
        <v>60</v>
      </c>
    </row>
    <row r="970" spans="1:20" x14ac:dyDescent="0.25">
      <c r="A970">
        <v>970</v>
      </c>
      <c r="B970" s="1" t="s">
        <v>4008</v>
      </c>
      <c r="C970" s="1" t="s">
        <v>4009</v>
      </c>
      <c r="D970" s="1" t="s">
        <v>4010</v>
      </c>
      <c r="E970" s="1"/>
      <c r="F970" s="1"/>
      <c r="G970" s="1" t="s">
        <v>634</v>
      </c>
      <c r="H970" s="1" t="s">
        <v>4011</v>
      </c>
      <c r="I970" s="1" t="s">
        <v>568</v>
      </c>
      <c r="J970" s="1" t="s">
        <v>641</v>
      </c>
      <c r="K970">
        <v>0</v>
      </c>
      <c r="L970">
        <v>1</v>
      </c>
      <c r="M970">
        <v>27</v>
      </c>
      <c r="N970" s="21">
        <v>44415.628849618057</v>
      </c>
      <c r="O970" s="21">
        <v>44415.628849618057</v>
      </c>
      <c r="P970" s="21"/>
      <c r="Q970">
        <v>0</v>
      </c>
      <c r="T970">
        <v>60</v>
      </c>
    </row>
    <row r="971" spans="1:20" x14ac:dyDescent="0.25">
      <c r="A971">
        <v>971</v>
      </c>
      <c r="B971" s="1" t="s">
        <v>4012</v>
      </c>
      <c r="C971" s="1"/>
      <c r="D971" s="1" t="s">
        <v>4013</v>
      </c>
      <c r="E971" s="1"/>
      <c r="F971" s="1"/>
      <c r="G971" s="1" t="s">
        <v>634</v>
      </c>
      <c r="H971" s="1" t="s">
        <v>4014</v>
      </c>
      <c r="I971" s="1"/>
      <c r="J971" s="1"/>
      <c r="K971">
        <v>0</v>
      </c>
      <c r="L971">
        <v>0</v>
      </c>
      <c r="N971" s="21">
        <v>44415.628849618057</v>
      </c>
      <c r="O971" s="21">
        <v>44415.628849618057</v>
      </c>
      <c r="P971" s="21"/>
      <c r="Q971">
        <v>0</v>
      </c>
      <c r="T971">
        <v>60</v>
      </c>
    </row>
    <row r="972" spans="1:20" x14ac:dyDescent="0.25">
      <c r="A972">
        <v>972</v>
      </c>
      <c r="B972" s="1" t="s">
        <v>4015</v>
      </c>
      <c r="C972" s="1"/>
      <c r="D972" s="1" t="s">
        <v>4016</v>
      </c>
      <c r="E972" s="1"/>
      <c r="F972" s="1"/>
      <c r="G972" s="1"/>
      <c r="H972" s="1" t="s">
        <v>4017</v>
      </c>
      <c r="I972" s="1"/>
      <c r="J972" s="1"/>
      <c r="K972">
        <v>0</v>
      </c>
      <c r="L972">
        <v>0</v>
      </c>
      <c r="N972" s="21">
        <v>44415.628849618057</v>
      </c>
      <c r="O972" s="21">
        <v>44415.628849618057</v>
      </c>
      <c r="P972" s="21"/>
      <c r="Q972">
        <v>0</v>
      </c>
      <c r="T972">
        <v>60</v>
      </c>
    </row>
    <row r="973" spans="1:20" x14ac:dyDescent="0.25">
      <c r="A973">
        <v>973</v>
      </c>
      <c r="B973" s="1" t="s">
        <v>4018</v>
      </c>
      <c r="C973" s="1"/>
      <c r="D973" s="1" t="s">
        <v>4019</v>
      </c>
      <c r="E973" s="1" t="s">
        <v>4020</v>
      </c>
      <c r="F973" s="1"/>
      <c r="G973" s="1"/>
      <c r="H973" s="1" t="s">
        <v>4021</v>
      </c>
      <c r="I973" s="1" t="s">
        <v>568</v>
      </c>
      <c r="J973" s="1"/>
      <c r="K973">
        <v>0</v>
      </c>
      <c r="L973">
        <v>1</v>
      </c>
      <c r="M973">
        <v>172</v>
      </c>
      <c r="N973" s="21">
        <v>44415.628849618057</v>
      </c>
      <c r="O973" s="21">
        <v>44415.628849618057</v>
      </c>
      <c r="P973" s="21"/>
      <c r="Q973">
        <v>0</v>
      </c>
      <c r="T973">
        <v>60</v>
      </c>
    </row>
    <row r="974" spans="1:20" x14ac:dyDescent="0.25">
      <c r="A974">
        <v>974</v>
      </c>
      <c r="B974" s="1" t="s">
        <v>4018</v>
      </c>
      <c r="C974" s="1" t="s">
        <v>4022</v>
      </c>
      <c r="D974" s="1" t="s">
        <v>4019</v>
      </c>
      <c r="E974" s="1" t="s">
        <v>4020</v>
      </c>
      <c r="F974" s="1"/>
      <c r="G974" s="1" t="s">
        <v>634</v>
      </c>
      <c r="H974" s="1" t="s">
        <v>4023</v>
      </c>
      <c r="I974" s="1" t="s">
        <v>568</v>
      </c>
      <c r="J974" s="1" t="s">
        <v>4024</v>
      </c>
      <c r="K974">
        <v>0</v>
      </c>
      <c r="L974">
        <v>1</v>
      </c>
      <c r="M974">
        <v>172</v>
      </c>
      <c r="N974" s="21">
        <v>44415.628849618057</v>
      </c>
      <c r="O974" s="21">
        <v>44415.628849618057</v>
      </c>
      <c r="P974" s="21"/>
      <c r="Q974">
        <v>0</v>
      </c>
      <c r="T974">
        <v>60</v>
      </c>
    </row>
    <row r="975" spans="1:20" x14ac:dyDescent="0.25">
      <c r="A975">
        <v>975</v>
      </c>
      <c r="B975" s="1" t="s">
        <v>4025</v>
      </c>
      <c r="C975" s="1"/>
      <c r="D975" s="1" t="s">
        <v>4026</v>
      </c>
      <c r="E975" s="1"/>
      <c r="F975" s="1"/>
      <c r="G975" s="1" t="s">
        <v>634</v>
      </c>
      <c r="H975" s="1" t="s">
        <v>4027</v>
      </c>
      <c r="I975" s="1" t="s">
        <v>568</v>
      </c>
      <c r="J975" s="1"/>
      <c r="K975">
        <v>0</v>
      </c>
      <c r="L975">
        <v>0</v>
      </c>
      <c r="N975" s="21">
        <v>44415.628849618057</v>
      </c>
      <c r="O975" s="21">
        <v>44415.628849618057</v>
      </c>
      <c r="P975" s="21"/>
      <c r="Q975">
        <v>0</v>
      </c>
      <c r="T975">
        <v>60</v>
      </c>
    </row>
    <row r="976" spans="1:20" x14ac:dyDescent="0.25">
      <c r="A976">
        <v>976</v>
      </c>
      <c r="B976" s="1" t="s">
        <v>4028</v>
      </c>
      <c r="C976" s="1"/>
      <c r="D976" s="1" t="s">
        <v>4029</v>
      </c>
      <c r="E976" s="1"/>
      <c r="F976" s="1"/>
      <c r="G976" s="1" t="s">
        <v>634</v>
      </c>
      <c r="H976" s="1" t="s">
        <v>4030</v>
      </c>
      <c r="I976" s="1" t="s">
        <v>568</v>
      </c>
      <c r="J976" s="1" t="s">
        <v>754</v>
      </c>
      <c r="K976">
        <v>0</v>
      </c>
      <c r="L976">
        <v>0</v>
      </c>
      <c r="N976" s="21">
        <v>44415.628849618057</v>
      </c>
      <c r="O976" s="21">
        <v>44415.628849618057</v>
      </c>
      <c r="P976" s="21"/>
      <c r="Q976">
        <v>0</v>
      </c>
      <c r="T976">
        <v>60</v>
      </c>
    </row>
    <row r="977" spans="1:20" x14ac:dyDescent="0.25">
      <c r="A977">
        <v>977</v>
      </c>
      <c r="B977" s="1" t="s">
        <v>4031</v>
      </c>
      <c r="C977" s="1" t="s">
        <v>4032</v>
      </c>
      <c r="D977" s="1" t="s">
        <v>4033</v>
      </c>
      <c r="E977" s="1"/>
      <c r="F977" s="1"/>
      <c r="G977" s="1" t="s">
        <v>634</v>
      </c>
      <c r="H977" s="1" t="s">
        <v>4034</v>
      </c>
      <c r="I977" s="1" t="s">
        <v>568</v>
      </c>
      <c r="J977" s="1" t="s">
        <v>641</v>
      </c>
      <c r="K977">
        <v>0</v>
      </c>
      <c r="L977">
        <v>1</v>
      </c>
      <c r="M977">
        <v>4899</v>
      </c>
      <c r="N977" s="21">
        <v>44415.628849618057</v>
      </c>
      <c r="O977" s="21">
        <v>44415.628849618057</v>
      </c>
      <c r="P977" s="21"/>
      <c r="Q977">
        <v>0</v>
      </c>
      <c r="T977">
        <v>60</v>
      </c>
    </row>
    <row r="978" spans="1:20" x14ac:dyDescent="0.25">
      <c r="A978">
        <v>978</v>
      </c>
      <c r="B978" s="1" t="s">
        <v>4035</v>
      </c>
      <c r="C978" s="1"/>
      <c r="D978" s="1" t="s">
        <v>4036</v>
      </c>
      <c r="E978" s="1"/>
      <c r="F978" s="1"/>
      <c r="G978" s="1" t="s">
        <v>644</v>
      </c>
      <c r="H978" s="1" t="s">
        <v>4037</v>
      </c>
      <c r="I978" s="1"/>
      <c r="J978" s="1"/>
      <c r="K978">
        <v>0</v>
      </c>
      <c r="L978">
        <v>0</v>
      </c>
      <c r="N978" s="21">
        <v>44415.628849618057</v>
      </c>
      <c r="O978" s="21">
        <v>44415.628849618057</v>
      </c>
      <c r="P978" s="21"/>
      <c r="Q978">
        <v>0</v>
      </c>
      <c r="T978">
        <v>60</v>
      </c>
    </row>
    <row r="979" spans="1:20" x14ac:dyDescent="0.25">
      <c r="A979">
        <v>979</v>
      </c>
      <c r="B979" s="1" t="s">
        <v>4038</v>
      </c>
      <c r="C979" s="1" t="s">
        <v>4039</v>
      </c>
      <c r="D979" s="1" t="s">
        <v>4040</v>
      </c>
      <c r="E979" s="1"/>
      <c r="F979" s="1"/>
      <c r="G979" s="1" t="s">
        <v>644</v>
      </c>
      <c r="H979" s="1" t="s">
        <v>4041</v>
      </c>
      <c r="I979" s="1" t="s">
        <v>568</v>
      </c>
      <c r="J979" s="1" t="s">
        <v>754</v>
      </c>
      <c r="K979">
        <v>0</v>
      </c>
      <c r="L979">
        <v>1</v>
      </c>
      <c r="M979">
        <v>64</v>
      </c>
      <c r="N979" s="21">
        <v>44415.628849618057</v>
      </c>
      <c r="O979" s="21">
        <v>44415.628849618057</v>
      </c>
      <c r="P979" s="21"/>
      <c r="Q979">
        <v>0</v>
      </c>
      <c r="T979">
        <v>60</v>
      </c>
    </row>
    <row r="980" spans="1:20" x14ac:dyDescent="0.25">
      <c r="A980">
        <v>980</v>
      </c>
      <c r="B980" s="1" t="s">
        <v>4042</v>
      </c>
      <c r="C980" s="1" t="s">
        <v>4043</v>
      </c>
      <c r="D980" s="1" t="s">
        <v>4044</v>
      </c>
      <c r="E980" s="1"/>
      <c r="F980" s="1"/>
      <c r="G980" s="1" t="s">
        <v>644</v>
      </c>
      <c r="H980" s="1" t="s">
        <v>4045</v>
      </c>
      <c r="I980" s="1" t="s">
        <v>995</v>
      </c>
      <c r="J980" s="1" t="s">
        <v>641</v>
      </c>
      <c r="K980">
        <v>0</v>
      </c>
      <c r="L980">
        <v>1</v>
      </c>
      <c r="M980">
        <v>3888</v>
      </c>
      <c r="N980" s="21">
        <v>44415.628849618057</v>
      </c>
      <c r="O980" s="21">
        <v>44415.628849618057</v>
      </c>
      <c r="P980" s="21"/>
      <c r="Q980">
        <v>0</v>
      </c>
      <c r="T980">
        <v>60</v>
      </c>
    </row>
    <row r="981" spans="1:20" x14ac:dyDescent="0.25">
      <c r="A981">
        <v>981</v>
      </c>
      <c r="B981" s="1" t="s">
        <v>4046</v>
      </c>
      <c r="C981" s="1" t="s">
        <v>4047</v>
      </c>
      <c r="D981" s="1" t="s">
        <v>4048</v>
      </c>
      <c r="E981" s="1"/>
      <c r="F981" s="1"/>
      <c r="G981" s="1"/>
      <c r="H981" s="1" t="s">
        <v>4049</v>
      </c>
      <c r="I981" s="1" t="s">
        <v>568</v>
      </c>
      <c r="J981" s="1" t="s">
        <v>641</v>
      </c>
      <c r="K981">
        <v>0</v>
      </c>
      <c r="L981">
        <v>1</v>
      </c>
      <c r="M981">
        <v>186</v>
      </c>
      <c r="N981" s="21">
        <v>44415.628849618057</v>
      </c>
      <c r="O981" s="21">
        <v>44415.628849618057</v>
      </c>
      <c r="P981" s="21"/>
      <c r="Q981">
        <v>0</v>
      </c>
      <c r="T981">
        <v>60</v>
      </c>
    </row>
    <row r="982" spans="1:20" x14ac:dyDescent="0.25">
      <c r="A982">
        <v>982</v>
      </c>
      <c r="B982" s="1" t="s">
        <v>4050</v>
      </c>
      <c r="C982" s="1"/>
      <c r="D982" s="1" t="s">
        <v>4051</v>
      </c>
      <c r="E982" s="1"/>
      <c r="F982" s="1"/>
      <c r="G982" s="1" t="s">
        <v>634</v>
      </c>
      <c r="H982" s="1" t="s">
        <v>4052</v>
      </c>
      <c r="I982" s="1"/>
      <c r="J982" s="1"/>
      <c r="K982">
        <v>0</v>
      </c>
      <c r="L982">
        <v>0</v>
      </c>
      <c r="N982" s="21">
        <v>44415.628849618057</v>
      </c>
      <c r="O982" s="21">
        <v>44415.628849618057</v>
      </c>
      <c r="P982" s="21"/>
      <c r="Q982">
        <v>0</v>
      </c>
      <c r="T982">
        <v>60</v>
      </c>
    </row>
    <row r="983" spans="1:20" x14ac:dyDescent="0.25">
      <c r="A983">
        <v>983</v>
      </c>
      <c r="B983" s="1" t="s">
        <v>4053</v>
      </c>
      <c r="C983" s="1"/>
      <c r="D983" s="1" t="s">
        <v>4054</v>
      </c>
      <c r="E983" s="1"/>
      <c r="F983" s="1"/>
      <c r="G983" s="1" t="s">
        <v>634</v>
      </c>
      <c r="H983" s="1" t="s">
        <v>4055</v>
      </c>
      <c r="I983" s="1" t="s">
        <v>568</v>
      </c>
      <c r="J983" s="1" t="s">
        <v>641</v>
      </c>
      <c r="K983">
        <v>0</v>
      </c>
      <c r="L983">
        <v>0</v>
      </c>
      <c r="N983" s="21">
        <v>44415.628849618057</v>
      </c>
      <c r="O983" s="21">
        <v>44415.628849618057</v>
      </c>
      <c r="P983" s="21"/>
      <c r="Q983">
        <v>0</v>
      </c>
      <c r="T983">
        <v>60</v>
      </c>
    </row>
    <row r="984" spans="1:20" x14ac:dyDescent="0.25">
      <c r="A984">
        <v>984</v>
      </c>
      <c r="B984" s="1" t="s">
        <v>4056</v>
      </c>
      <c r="C984" s="1"/>
      <c r="D984" s="1" t="s">
        <v>4057</v>
      </c>
      <c r="E984" s="1"/>
      <c r="F984" s="1"/>
      <c r="G984" s="1" t="s">
        <v>713</v>
      </c>
      <c r="H984" s="1" t="s">
        <v>4058</v>
      </c>
      <c r="I984" s="1"/>
      <c r="J984" s="1" t="s">
        <v>636</v>
      </c>
      <c r="K984">
        <v>0</v>
      </c>
      <c r="L984">
        <v>0</v>
      </c>
      <c r="N984" s="21">
        <v>44415.628849618057</v>
      </c>
      <c r="O984" s="21">
        <v>44415.628849618057</v>
      </c>
      <c r="P984" s="21"/>
      <c r="Q984">
        <v>0</v>
      </c>
      <c r="T984">
        <v>60</v>
      </c>
    </row>
    <row r="985" spans="1:20" x14ac:dyDescent="0.25">
      <c r="A985">
        <v>985</v>
      </c>
      <c r="B985" s="1" t="s">
        <v>4059</v>
      </c>
      <c r="C985" s="1"/>
      <c r="D985" s="1" t="s">
        <v>4060</v>
      </c>
      <c r="E985" s="1"/>
      <c r="F985" s="1"/>
      <c r="G985" s="1"/>
      <c r="H985" s="1" t="s">
        <v>4061</v>
      </c>
      <c r="I985" s="1"/>
      <c r="J985" s="1"/>
      <c r="K985">
        <v>0</v>
      </c>
      <c r="L985">
        <v>0</v>
      </c>
      <c r="N985" s="21">
        <v>44415.628849618057</v>
      </c>
      <c r="O985" s="21">
        <v>44415.628849618057</v>
      </c>
      <c r="P985" s="21"/>
      <c r="Q985">
        <v>0</v>
      </c>
      <c r="T985">
        <v>60</v>
      </c>
    </row>
    <row r="986" spans="1:20" x14ac:dyDescent="0.25">
      <c r="A986">
        <v>986</v>
      </c>
      <c r="B986" s="1" t="s">
        <v>4062</v>
      </c>
      <c r="C986" s="1"/>
      <c r="D986" s="1" t="s">
        <v>4063</v>
      </c>
      <c r="E986" s="1"/>
      <c r="F986" s="1"/>
      <c r="G986" s="1"/>
      <c r="H986" s="1" t="s">
        <v>4064</v>
      </c>
      <c r="I986" s="1"/>
      <c r="J986" s="1"/>
      <c r="K986">
        <v>0</v>
      </c>
      <c r="L986">
        <v>0</v>
      </c>
      <c r="N986" s="21">
        <v>44415.628849618057</v>
      </c>
      <c r="O986" s="21">
        <v>44415.628849618057</v>
      </c>
      <c r="P986" s="21"/>
      <c r="Q986">
        <v>0</v>
      </c>
      <c r="T986">
        <v>60</v>
      </c>
    </row>
    <row r="987" spans="1:20" x14ac:dyDescent="0.25">
      <c r="A987">
        <v>987</v>
      </c>
      <c r="B987" s="1" t="s">
        <v>4065</v>
      </c>
      <c r="C987" s="1"/>
      <c r="D987" s="1" t="s">
        <v>4066</v>
      </c>
      <c r="E987" s="1"/>
      <c r="F987" s="1"/>
      <c r="G987" s="1" t="s">
        <v>713</v>
      </c>
      <c r="H987" s="1" t="s">
        <v>4067</v>
      </c>
      <c r="I987" s="1"/>
      <c r="J987" s="1" t="s">
        <v>641</v>
      </c>
      <c r="K987">
        <v>0</v>
      </c>
      <c r="L987">
        <v>0</v>
      </c>
      <c r="N987" s="21">
        <v>44415.628849618057</v>
      </c>
      <c r="O987" s="21">
        <v>44415.628849618057</v>
      </c>
      <c r="P987" s="21"/>
      <c r="Q987">
        <v>0</v>
      </c>
      <c r="T987">
        <v>60</v>
      </c>
    </row>
    <row r="988" spans="1:20" x14ac:dyDescent="0.25">
      <c r="A988">
        <v>988</v>
      </c>
      <c r="B988" s="1" t="s">
        <v>4068</v>
      </c>
      <c r="C988" s="1"/>
      <c r="D988" s="1" t="s">
        <v>4069</v>
      </c>
      <c r="E988" s="1"/>
      <c r="F988" s="1"/>
      <c r="G988" s="1" t="s">
        <v>713</v>
      </c>
      <c r="H988" s="1" t="s">
        <v>4070</v>
      </c>
      <c r="I988" s="1"/>
      <c r="J988" s="1"/>
      <c r="K988">
        <v>0</v>
      </c>
      <c r="L988">
        <v>0</v>
      </c>
      <c r="N988" s="21">
        <v>44415.628849618057</v>
      </c>
      <c r="O988" s="21">
        <v>44415.628849618057</v>
      </c>
      <c r="P988" s="21"/>
      <c r="Q988">
        <v>0</v>
      </c>
      <c r="T988">
        <v>60</v>
      </c>
    </row>
    <row r="989" spans="1:20" x14ac:dyDescent="0.25">
      <c r="A989">
        <v>989</v>
      </c>
      <c r="B989" s="1" t="s">
        <v>4068</v>
      </c>
      <c r="C989" s="1" t="s">
        <v>4071</v>
      </c>
      <c r="D989" s="1" t="s">
        <v>4072</v>
      </c>
      <c r="E989" s="1"/>
      <c r="F989" s="1"/>
      <c r="G989" s="1" t="s">
        <v>713</v>
      </c>
      <c r="H989" s="1" t="s">
        <v>4073</v>
      </c>
      <c r="I989" s="1"/>
      <c r="J989" s="1" t="s">
        <v>641</v>
      </c>
      <c r="K989">
        <v>1</v>
      </c>
      <c r="L989">
        <v>0</v>
      </c>
      <c r="N989" s="21">
        <v>44415.628849618057</v>
      </c>
      <c r="O989" s="21">
        <v>44415.628849618057</v>
      </c>
      <c r="P989" s="21"/>
      <c r="Q989">
        <v>0</v>
      </c>
      <c r="T989">
        <v>60</v>
      </c>
    </row>
    <row r="990" spans="1:20" x14ac:dyDescent="0.25">
      <c r="A990">
        <v>990</v>
      </c>
      <c r="B990" s="1" t="s">
        <v>4065</v>
      </c>
      <c r="C990" s="1"/>
      <c r="D990" s="1" t="s">
        <v>4074</v>
      </c>
      <c r="E990" s="1"/>
      <c r="F990" s="1"/>
      <c r="G990" s="1"/>
      <c r="H990" s="1" t="s">
        <v>4075</v>
      </c>
      <c r="I990" s="1"/>
      <c r="J990" s="1" t="s">
        <v>641</v>
      </c>
      <c r="K990">
        <v>0</v>
      </c>
      <c r="L990">
        <v>0</v>
      </c>
      <c r="N990" s="21">
        <v>44415.628849618057</v>
      </c>
      <c r="O990" s="21">
        <v>44415.628849618057</v>
      </c>
      <c r="P990" s="21"/>
      <c r="Q990">
        <v>0</v>
      </c>
      <c r="T990">
        <v>60</v>
      </c>
    </row>
    <row r="991" spans="1:20" x14ac:dyDescent="0.25">
      <c r="A991">
        <v>991</v>
      </c>
      <c r="B991" s="1" t="s">
        <v>4065</v>
      </c>
      <c r="C991" s="1"/>
      <c r="D991" s="1" t="s">
        <v>4076</v>
      </c>
      <c r="E991" s="1"/>
      <c r="F991" s="1"/>
      <c r="G991" s="1" t="s">
        <v>713</v>
      </c>
      <c r="H991" s="1" t="s">
        <v>4077</v>
      </c>
      <c r="I991" s="1"/>
      <c r="J991" s="1"/>
      <c r="K991">
        <v>0</v>
      </c>
      <c r="L991">
        <v>0</v>
      </c>
      <c r="N991" s="21">
        <v>44415.628849618057</v>
      </c>
      <c r="O991" s="21">
        <v>44415.628849618057</v>
      </c>
      <c r="P991" s="21"/>
      <c r="Q991">
        <v>0</v>
      </c>
      <c r="T991">
        <v>60</v>
      </c>
    </row>
    <row r="992" spans="1:20" x14ac:dyDescent="0.25">
      <c r="A992">
        <v>992</v>
      </c>
      <c r="B992" s="1" t="s">
        <v>4078</v>
      </c>
      <c r="C992" s="1"/>
      <c r="D992" s="1" t="s">
        <v>4079</v>
      </c>
      <c r="E992" s="1"/>
      <c r="F992" s="1"/>
      <c r="G992" s="1"/>
      <c r="H992" s="1" t="s">
        <v>4080</v>
      </c>
      <c r="I992" s="1"/>
      <c r="J992" s="1"/>
      <c r="K992">
        <v>0</v>
      </c>
      <c r="L992">
        <v>0</v>
      </c>
      <c r="N992" s="21">
        <v>44415.628849618057</v>
      </c>
      <c r="O992" s="21">
        <v>44415.628849618057</v>
      </c>
      <c r="P992" s="21"/>
      <c r="Q992">
        <v>0</v>
      </c>
      <c r="T992">
        <v>60</v>
      </c>
    </row>
    <row r="993" spans="1:20" x14ac:dyDescent="0.25">
      <c r="A993">
        <v>993</v>
      </c>
      <c r="B993" s="1" t="s">
        <v>4081</v>
      </c>
      <c r="C993" s="1" t="s">
        <v>4082</v>
      </c>
      <c r="D993" s="1" t="s">
        <v>4083</v>
      </c>
      <c r="E993" s="1"/>
      <c r="F993" s="1"/>
      <c r="G993" s="1" t="s">
        <v>713</v>
      </c>
      <c r="H993" s="1" t="s">
        <v>4084</v>
      </c>
      <c r="I993" s="1"/>
      <c r="J993" s="1" t="s">
        <v>641</v>
      </c>
      <c r="K993">
        <v>1</v>
      </c>
      <c r="L993">
        <v>0</v>
      </c>
      <c r="N993" s="21">
        <v>44415.628849618057</v>
      </c>
      <c r="O993" s="21">
        <v>44415.628849618057</v>
      </c>
      <c r="P993" s="21"/>
      <c r="Q993">
        <v>0</v>
      </c>
      <c r="T993">
        <v>60</v>
      </c>
    </row>
    <row r="994" spans="1:20" x14ac:dyDescent="0.25">
      <c r="A994">
        <v>994</v>
      </c>
      <c r="B994" s="1" t="s">
        <v>4085</v>
      </c>
      <c r="C994" s="1"/>
      <c r="D994" s="1" t="s">
        <v>4086</v>
      </c>
      <c r="E994" s="1"/>
      <c r="F994" s="1"/>
      <c r="G994" s="1" t="s">
        <v>713</v>
      </c>
      <c r="H994" s="1" t="s">
        <v>4087</v>
      </c>
      <c r="I994" s="1"/>
      <c r="J994" s="1" t="s">
        <v>641</v>
      </c>
      <c r="K994">
        <v>0</v>
      </c>
      <c r="L994">
        <v>0</v>
      </c>
      <c r="N994" s="21">
        <v>44415.628849618057</v>
      </c>
      <c r="O994" s="21">
        <v>44415.628849618057</v>
      </c>
      <c r="P994" s="21"/>
      <c r="Q994">
        <v>0</v>
      </c>
      <c r="T994">
        <v>60</v>
      </c>
    </row>
    <row r="995" spans="1:20" x14ac:dyDescent="0.25">
      <c r="A995">
        <v>995</v>
      </c>
      <c r="B995" s="1" t="s">
        <v>4088</v>
      </c>
      <c r="C995" s="1"/>
      <c r="D995" s="1" t="s">
        <v>4089</v>
      </c>
      <c r="E995" s="1"/>
      <c r="F995" s="1"/>
      <c r="G995" s="1"/>
      <c r="H995" s="1" t="s">
        <v>4090</v>
      </c>
      <c r="I995" s="1"/>
      <c r="J995" s="1"/>
      <c r="K995">
        <v>0</v>
      </c>
      <c r="L995">
        <v>0</v>
      </c>
      <c r="N995" s="21">
        <v>44415.628849618057</v>
      </c>
      <c r="O995" s="21">
        <v>44415.628849618057</v>
      </c>
      <c r="P995" s="21"/>
      <c r="Q995">
        <v>0</v>
      </c>
      <c r="T995">
        <v>60</v>
      </c>
    </row>
    <row r="996" spans="1:20" x14ac:dyDescent="0.25">
      <c r="A996">
        <v>996</v>
      </c>
      <c r="B996" s="1" t="s">
        <v>4091</v>
      </c>
      <c r="C996" s="1"/>
      <c r="D996" s="1" t="s">
        <v>4092</v>
      </c>
      <c r="E996" s="1"/>
      <c r="F996" s="1"/>
      <c r="G996" s="1" t="s">
        <v>644</v>
      </c>
      <c r="H996" s="1" t="s">
        <v>4093</v>
      </c>
      <c r="I996" s="1"/>
      <c r="J996" s="1"/>
      <c r="K996">
        <v>0</v>
      </c>
      <c r="L996">
        <v>0</v>
      </c>
      <c r="N996" s="21">
        <v>44415.628849618057</v>
      </c>
      <c r="O996" s="21">
        <v>44415.628849618057</v>
      </c>
      <c r="P996" s="21"/>
      <c r="Q996">
        <v>0</v>
      </c>
      <c r="T996">
        <v>60</v>
      </c>
    </row>
    <row r="997" spans="1:20" x14ac:dyDescent="0.25">
      <c r="A997">
        <v>997</v>
      </c>
      <c r="B997" s="1" t="s">
        <v>4094</v>
      </c>
      <c r="C997" s="1"/>
      <c r="D997" s="1" t="s">
        <v>4095</v>
      </c>
      <c r="E997" s="1"/>
      <c r="F997" s="1"/>
      <c r="G997" s="1"/>
      <c r="H997" s="1" t="s">
        <v>4096</v>
      </c>
      <c r="I997" s="1"/>
      <c r="J997" s="1"/>
      <c r="K997">
        <v>0</v>
      </c>
      <c r="L997">
        <v>0</v>
      </c>
      <c r="N997" s="21">
        <v>44415.628849618057</v>
      </c>
      <c r="O997" s="21">
        <v>44415.628849618057</v>
      </c>
      <c r="P997" s="21"/>
      <c r="Q997">
        <v>0</v>
      </c>
      <c r="T997">
        <v>60</v>
      </c>
    </row>
    <row r="998" spans="1:20" x14ac:dyDescent="0.25">
      <c r="A998">
        <v>998</v>
      </c>
      <c r="B998" s="1" t="s">
        <v>4097</v>
      </c>
      <c r="C998" s="1"/>
      <c r="D998" s="1" t="s">
        <v>4098</v>
      </c>
      <c r="E998" s="1"/>
      <c r="F998" s="1"/>
      <c r="G998" s="1" t="s">
        <v>713</v>
      </c>
      <c r="H998" s="1" t="s">
        <v>4099</v>
      </c>
      <c r="I998" s="1"/>
      <c r="J998" s="1" t="s">
        <v>641</v>
      </c>
      <c r="K998">
        <v>0</v>
      </c>
      <c r="L998">
        <v>0</v>
      </c>
      <c r="N998" s="21">
        <v>44415.628849618057</v>
      </c>
      <c r="O998" s="21">
        <v>44415.628849618057</v>
      </c>
      <c r="P998" s="21"/>
      <c r="Q998">
        <v>0</v>
      </c>
      <c r="T998">
        <v>60</v>
      </c>
    </row>
    <row r="999" spans="1:20" x14ac:dyDescent="0.25">
      <c r="A999">
        <v>999</v>
      </c>
      <c r="B999" s="1" t="s">
        <v>4100</v>
      </c>
      <c r="C999" s="1" t="s">
        <v>4101</v>
      </c>
      <c r="D999" s="1" t="s">
        <v>4102</v>
      </c>
      <c r="E999" s="1"/>
      <c r="F999" s="1"/>
      <c r="G999" s="1" t="s">
        <v>634</v>
      </c>
      <c r="H999" s="1" t="s">
        <v>4103</v>
      </c>
      <c r="I999" s="1" t="s">
        <v>859</v>
      </c>
      <c r="J999" s="1" t="s">
        <v>641</v>
      </c>
      <c r="K999">
        <v>0</v>
      </c>
      <c r="L999">
        <v>1</v>
      </c>
      <c r="M999">
        <v>43</v>
      </c>
      <c r="N999" s="21">
        <v>44415.628849618057</v>
      </c>
      <c r="O999" s="21">
        <v>44415.628849618057</v>
      </c>
      <c r="P999" s="21"/>
      <c r="Q999">
        <v>0</v>
      </c>
      <c r="T999">
        <v>60</v>
      </c>
    </row>
    <row r="1000" spans="1:20" x14ac:dyDescent="0.25">
      <c r="A1000">
        <v>1000</v>
      </c>
      <c r="B1000" s="1" t="s">
        <v>4104</v>
      </c>
      <c r="C1000" s="1"/>
      <c r="D1000" s="1" t="s">
        <v>4105</v>
      </c>
      <c r="E1000" s="1"/>
      <c r="F1000" s="1"/>
      <c r="G1000" s="1" t="s">
        <v>644</v>
      </c>
      <c r="H1000" s="1" t="s">
        <v>4106</v>
      </c>
      <c r="I1000" s="1"/>
      <c r="J1000" s="1"/>
      <c r="K1000">
        <v>0</v>
      </c>
      <c r="L1000">
        <v>0</v>
      </c>
      <c r="N1000" s="21">
        <v>44415.628849618057</v>
      </c>
      <c r="O1000" s="21">
        <v>44415.628849618057</v>
      </c>
      <c r="P1000" s="21"/>
      <c r="Q1000">
        <v>0</v>
      </c>
      <c r="T1000">
        <v>60</v>
      </c>
    </row>
    <row r="1001" spans="1:20" x14ac:dyDescent="0.25">
      <c r="A1001">
        <v>1001</v>
      </c>
      <c r="B1001" s="1" t="s">
        <v>4107</v>
      </c>
      <c r="C1001" s="1"/>
      <c r="D1001" s="1" t="s">
        <v>4108</v>
      </c>
      <c r="E1001" s="1"/>
      <c r="F1001" s="1"/>
      <c r="G1001" s="1" t="s">
        <v>634</v>
      </c>
      <c r="H1001" s="1" t="s">
        <v>4109</v>
      </c>
      <c r="I1001" s="1" t="s">
        <v>568</v>
      </c>
      <c r="J1001" s="1"/>
      <c r="K1001">
        <v>0</v>
      </c>
      <c r="L1001">
        <v>0</v>
      </c>
      <c r="N1001" s="21">
        <v>44415.628849618057</v>
      </c>
      <c r="O1001" s="21">
        <v>44415.628849618057</v>
      </c>
      <c r="P1001" s="21"/>
      <c r="Q1001">
        <v>0</v>
      </c>
      <c r="T1001">
        <v>60</v>
      </c>
    </row>
  </sheetData>
  <phoneticPr fontId="6"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491697-114D-469E-BCA5-4A6C0A237CEE}">
  <sheetPr codeName="Sheet7"/>
  <dimension ref="B1:H493"/>
  <sheetViews>
    <sheetView topLeftCell="D1" zoomScale="86" zoomScaleNormal="86" workbookViewId="0">
      <selection activeCell="G2" sqref="G2:G3"/>
    </sheetView>
  </sheetViews>
  <sheetFormatPr defaultRowHeight="15" x14ac:dyDescent="0.25"/>
  <cols>
    <col min="2" max="2" width="15.28515625" customWidth="1"/>
    <col min="3" max="3" width="25.42578125" style="15" customWidth="1"/>
    <col min="4" max="4" width="23.5703125" customWidth="1"/>
    <col min="5" max="5" width="21.28515625" customWidth="1"/>
    <col min="6" max="6" width="27.5703125" bestFit="1" customWidth="1"/>
    <col min="7" max="7" width="193.7109375" bestFit="1" customWidth="1"/>
    <col min="8" max="8" width="36.42578125" customWidth="1"/>
  </cols>
  <sheetData>
    <row r="1" spans="2:8" x14ac:dyDescent="0.25">
      <c r="B1" s="9" t="s">
        <v>229</v>
      </c>
      <c r="C1" s="14" t="s">
        <v>230</v>
      </c>
      <c r="D1" s="3" t="s">
        <v>30</v>
      </c>
      <c r="E1" s="3" t="s">
        <v>31</v>
      </c>
      <c r="F1" s="3" t="s">
        <v>34</v>
      </c>
      <c r="G1" s="3" t="s">
        <v>32</v>
      </c>
      <c r="H1" s="3" t="s">
        <v>33</v>
      </c>
    </row>
    <row r="2" spans="2:8" x14ac:dyDescent="0.25">
      <c r="B2" s="9" t="str">
        <f>'Column Definition'!F8</f>
        <v>int</v>
      </c>
      <c r="C2" s="14">
        <f>_xlfn.SWITCH(Table4[[#This Row],[Column1]],"int", 0, "Smallint", 0, "tinyint", 0, "Bit", 0, "varchar", "'A'", "nvarchar", "'A'", "char", "'A'", "numeric", 0,"decimal", 0, "date", "'01/01/2000'", "datetime", "'01/01/2000'", "")</f>
        <v>0</v>
      </c>
      <c r="D2" s="3" t="str">
        <f>'Column Definition'!C8</f>
        <v>ID_CompanyStep2</v>
      </c>
      <c r="E2" s="3" t="str">
        <f>D2</f>
        <v>ID_CompanyStep2</v>
      </c>
      <c r="F2" s="3" t="str">
        <f>"s."&amp;D2</f>
        <v>s.ID_CompanyStep2</v>
      </c>
      <c r="G2" s="3" t="str">
        <f>"AND (s."&amp;D2&amp;" &lt;&gt; t." &amp; D2 &amp; " OR ( t." &amp; D2  &amp; " Is Null AND s." &amp;D2 &amp; " Is Not Null) OR ( t." &amp; D2  &amp; " Is not Null AND s." &amp;D2 &amp; " Is  Null))"</f>
        <v>AND (s.ID_CompanyStep2 &lt;&gt; t.ID_CompanyStep2 OR ( t.ID_CompanyStep2 Is Null AND s.ID_CompanyStep2 Is Not Null) OR ( t.ID_CompanyStep2 Is not Null AND s.ID_CompanyStep2 Is  Null))</v>
      </c>
      <c r="H2" s="3" t="str">
        <f>"t."&amp; D2  &amp; " = s." &amp; D2</f>
        <v>t.ID_CompanyStep2 = s.ID_CompanyStep2</v>
      </c>
    </row>
    <row r="3" spans="2:8" x14ac:dyDescent="0.25">
      <c r="B3" s="9" t="str">
        <f>'Column Definition'!F9</f>
        <v>varchar</v>
      </c>
      <c r="C3" s="14" t="str">
        <f>_xlfn.SWITCH(Table4[[#This Row],[Column1]],"int", 0, "Smallint", 0, "tinyint", 0, "Bit", 0, "varchar", "'A'", "nvarchar", "'A'", "char", "'A'", "numeric", 0,"decimal", 0, "date", "'01/01/2000'", "datetime", "'01/01/2000'", "")</f>
        <v>'A'</v>
      </c>
      <c r="D3" s="3" t="str">
        <f>'Column Definition'!C9</f>
        <v>CoName</v>
      </c>
      <c r="E3" s="3" t="str">
        <f>", "&amp;D3</f>
        <v>, CoName</v>
      </c>
      <c r="F3" s="3" t="str">
        <f t="shared" ref="F3:F10" si="0">", s."&amp;D3</f>
        <v>, s.CoName</v>
      </c>
      <c r="G3" s="3" t="str">
        <f>"OR (s."&amp;D3&amp;" &lt;&gt; t." &amp; D3 &amp; " OR ( t." &amp; D3  &amp; " Is Null AND s." &amp;D3 &amp; " Is Not Null) OR ( t." &amp; D3  &amp; " Is not Null AND s." &amp;D3 &amp; " Is  Null))"</f>
        <v>OR (s.CoName &lt;&gt; t.CoName OR ( t.CoName Is Null AND s.CoName Is Not Null) OR ( t.CoName Is not Null AND s.CoName Is  Null))</v>
      </c>
      <c r="H3" s="3" t="str">
        <f t="shared" ref="H3:H10" si="1">", t."&amp; D3  &amp; " = s." &amp; D3</f>
        <v>, t.CoName = s.CoName</v>
      </c>
    </row>
    <row r="4" spans="2:8" x14ac:dyDescent="0.25">
      <c r="B4" s="9" t="str">
        <f>'Column Definition'!F10</f>
        <v>varchar</v>
      </c>
      <c r="C4" s="14" t="str">
        <f>_xlfn.SWITCH(Table4[[#This Row],[Column1]],"int", 0, "Smallint", 0, "tinyint", 0, "Bit", 0, "varchar", "'A'", "nvarchar", "'A'", "char", "'A'", "numeric", 0,"decimal", 0, "date", "'01/01/2000'", "datetime", "'01/01/2000'", "")</f>
        <v>'A'</v>
      </c>
      <c r="D4" s="3" t="str">
        <f>'Column Definition'!C10</f>
        <v>BackOfficeID</v>
      </c>
      <c r="E4" s="3" t="str">
        <f t="shared" ref="E4:E10" si="2">", "&amp;D4</f>
        <v>, BackOfficeID</v>
      </c>
      <c r="F4" s="3" t="str">
        <f t="shared" si="0"/>
        <v>, s.BackOfficeID</v>
      </c>
      <c r="G4" s="3" t="str">
        <f t="shared" ref="G4:G67" si="3">"OR (s."&amp;D4&amp;" &lt;&gt; t." &amp; D4 &amp; " OR ( t." &amp; D4  &amp; " Is Null AND s." &amp;D4 &amp; " Is Not Null) OR ( t." &amp; D4  &amp; " Is not Null AND s." &amp;D4 &amp; " Is  Null))"</f>
        <v>OR (s.BackOfficeID &lt;&gt; t.BackOfficeID OR ( t.BackOfficeID Is Null AND s.BackOfficeID Is Not Null) OR ( t.BackOfficeID Is not Null AND s.BackOfficeID Is  Null))</v>
      </c>
      <c r="H4" s="3" t="str">
        <f t="shared" si="1"/>
        <v>, t.BackOfficeID = s.BackOfficeID</v>
      </c>
    </row>
    <row r="5" spans="2:8" x14ac:dyDescent="0.25">
      <c r="B5" s="9" t="str">
        <f>'Column Definition'!F11</f>
        <v>varchar</v>
      </c>
      <c r="C5" s="14" t="str">
        <f>_xlfn.SWITCH(Table4[[#This Row],[Column1]],"int", 0, "Smallint", 0, "tinyint", 0, "Bit", 0, "varchar", "'A'", "nvarchar", "'A'", "char", "'A'", "numeric", 0,"decimal", 0, "date", "'01/01/2000'", "datetime", "'01/01/2000'", "")</f>
        <v>'A'</v>
      </c>
      <c r="D5" s="3" t="str">
        <f>'Column Definition'!C11</f>
        <v>CoFederalIDNum</v>
      </c>
      <c r="E5" s="3" t="str">
        <f t="shared" si="2"/>
        <v>, CoFederalIDNum</v>
      </c>
      <c r="F5" s="3" t="str">
        <f t="shared" si="0"/>
        <v>, s.CoFederalIDNum</v>
      </c>
      <c r="G5" s="3" t="str">
        <f t="shared" si="3"/>
        <v>OR (s.CoFederalIDNum &lt;&gt; t.CoFederalIDNum OR ( t.CoFederalIDNum Is Null AND s.CoFederalIDNum Is Not Null) OR ( t.CoFederalIDNum Is not Null AND s.CoFederalIDNum Is  Null))</v>
      </c>
      <c r="H5" s="3" t="str">
        <f t="shared" si="1"/>
        <v>, t.CoFederalIDNum = s.CoFederalIDNum</v>
      </c>
    </row>
    <row r="6" spans="2:8" x14ac:dyDescent="0.25">
      <c r="B6" s="9" t="str">
        <f>'Column Definition'!F12</f>
        <v>varchar</v>
      </c>
      <c r="C6" s="14" t="str">
        <f>_xlfn.SWITCH(Table4[[#This Row],[Column1]],"int", 0, "Smallint", 0, "tinyint", 0, "Bit", 0, "varchar", "'A'", "nvarchar", "'A'", "char", "'A'", "numeric", 0,"decimal", 0, "date", "'01/01/2000'", "datetime", "'01/01/2000'", "")</f>
        <v>'A'</v>
      </c>
      <c r="D6" s="3" t="str">
        <f>'Column Definition'!C12</f>
        <v>CoContact</v>
      </c>
      <c r="E6" s="3" t="str">
        <f t="shared" si="2"/>
        <v>, CoContact</v>
      </c>
      <c r="F6" s="3" t="str">
        <f t="shared" si="0"/>
        <v>, s.CoContact</v>
      </c>
      <c r="G6" s="3" t="str">
        <f t="shared" si="3"/>
        <v>OR (s.CoContact &lt;&gt; t.CoContact OR ( t.CoContact Is Null AND s.CoContact Is Not Null) OR ( t.CoContact Is not Null AND s.CoContact Is  Null))</v>
      </c>
      <c r="H6" s="3" t="str">
        <f t="shared" si="1"/>
        <v>, t.CoContact = s.CoContact</v>
      </c>
    </row>
    <row r="7" spans="2:8" x14ac:dyDescent="0.25">
      <c r="B7" s="9" t="str">
        <f>'Column Definition'!F13</f>
        <v>varchar</v>
      </c>
      <c r="C7" s="14" t="str">
        <f>_xlfn.SWITCH(Table4[[#This Row],[Column1]],"int", 0, "Smallint", 0, "tinyint", 0, "Bit", 0, "varchar", "'A'", "nvarchar", "'A'", "char", "'A'", "numeric", 0,"decimal", 0, "date", "'01/01/2000'", "datetime", "'01/01/2000'", "")</f>
        <v>'A'</v>
      </c>
      <c r="D7" s="3" t="str">
        <f>'Column Definition'!C13</f>
        <v>CoDBA</v>
      </c>
      <c r="E7" s="3" t="str">
        <f t="shared" si="2"/>
        <v>, CoDBA</v>
      </c>
      <c r="F7" s="3" t="str">
        <f t="shared" si="0"/>
        <v>, s.CoDBA</v>
      </c>
      <c r="G7" s="3" t="str">
        <f t="shared" si="3"/>
        <v>OR (s.CoDBA &lt;&gt; t.CoDBA OR ( t.CoDBA Is Null AND s.CoDBA Is Not Null) OR ( t.CoDBA Is not Null AND s.CoDBA Is  Null))</v>
      </c>
      <c r="H7" s="3" t="str">
        <f t="shared" si="1"/>
        <v>, t.CoDBA = s.CoDBA</v>
      </c>
    </row>
    <row r="8" spans="2:8" x14ac:dyDescent="0.25">
      <c r="B8" s="9" t="str">
        <f>'Column Definition'!F14</f>
        <v>varchar</v>
      </c>
      <c r="C8" s="14" t="str">
        <f>_xlfn.SWITCH(Table4[[#This Row],[Column1]],"int", 0, "Smallint", 0, "tinyint", 0, "Bit", 0, "varchar", "'A'", "nvarchar", "'A'", "char", "'A'", "numeric", 0,"decimal", 0, "date", "'01/01/2000'", "datetime", "'01/01/2000'", "")</f>
        <v>'A'</v>
      </c>
      <c r="D8" s="3" t="str">
        <f>'Column Definition'!C14</f>
        <v>CoBusinessType</v>
      </c>
      <c r="E8" s="3" t="str">
        <f t="shared" si="2"/>
        <v>, CoBusinessType</v>
      </c>
      <c r="F8" s="3" t="str">
        <f t="shared" si="0"/>
        <v>, s.CoBusinessType</v>
      </c>
      <c r="G8" s="3" t="str">
        <f t="shared" si="3"/>
        <v>OR (s.CoBusinessType &lt;&gt; t.CoBusinessType OR ( t.CoBusinessType Is Null AND s.CoBusinessType Is Not Null) OR ( t.CoBusinessType Is not Null AND s.CoBusinessType Is  Null))</v>
      </c>
      <c r="H8" s="3" t="str">
        <f t="shared" si="1"/>
        <v>, t.CoBusinessType = s.CoBusinessType</v>
      </c>
    </row>
    <row r="9" spans="2:8" x14ac:dyDescent="0.25">
      <c r="B9" s="9" t="str">
        <f>'Column Definition'!F15</f>
        <v>varchar</v>
      </c>
      <c r="C9" s="14" t="str">
        <f>_xlfn.SWITCH(Table4[[#This Row],[Column1]],"int", 0, "Smallint", 0, "tinyint", 0, "Bit", 0, "varchar", "'A'", "nvarchar", "'A'", "char", "'A'", "numeric", 0,"decimal", 0, "date", "'01/01/2000'", "datetime", "'01/01/2000'", "")</f>
        <v>'A'</v>
      </c>
      <c r="D9" s="3" t="str">
        <f>'Column Definition'!C15</f>
        <v>CoPhone</v>
      </c>
      <c r="E9" s="3" t="str">
        <f t="shared" si="2"/>
        <v>, CoPhone</v>
      </c>
      <c r="F9" s="3" t="str">
        <f t="shared" si="0"/>
        <v>, s.CoPhone</v>
      </c>
      <c r="G9" s="3" t="str">
        <f t="shared" si="3"/>
        <v>OR (s.CoPhone &lt;&gt; t.CoPhone OR ( t.CoPhone Is Null AND s.CoPhone Is Not Null) OR ( t.CoPhone Is not Null AND s.CoPhone Is  Null))</v>
      </c>
      <c r="H9" s="3" t="str">
        <f t="shared" si="1"/>
        <v>, t.CoPhone = s.CoPhone</v>
      </c>
    </row>
    <row r="10" spans="2:8" x14ac:dyDescent="0.25">
      <c r="B10" s="9" t="str">
        <f>'Column Definition'!F16</f>
        <v>varchar</v>
      </c>
      <c r="C10" s="14" t="str">
        <f>_xlfn.SWITCH(Table4[[#This Row],[Column1]],"int", 0, "Smallint", 0, "tinyint", 0, "Bit", 0, "varchar", "'A'", "nvarchar", "'A'", "char", "'A'", "numeric", 0,"decimal", 0, "date", "'01/01/2000'", "datetime", "'01/01/2000'", "")</f>
        <v>'A'</v>
      </c>
      <c r="D10" s="3" t="str">
        <f>'Column Definition'!C16</f>
        <v>CoStateIncCode</v>
      </c>
      <c r="E10" s="3" t="str">
        <f t="shared" si="2"/>
        <v>, CoStateIncCode</v>
      </c>
      <c r="F10" s="3" t="str">
        <f t="shared" si="0"/>
        <v>, s.CoStateIncCode</v>
      </c>
      <c r="G10" s="3" t="str">
        <f t="shared" si="3"/>
        <v>OR (s.CoStateIncCode &lt;&gt; t.CoStateIncCode OR ( t.CoStateIncCode Is Null AND s.CoStateIncCode Is Not Null) OR ( t.CoStateIncCode Is not Null AND s.CoStateIncCode Is  Null))</v>
      </c>
      <c r="H10" s="3" t="str">
        <f t="shared" si="1"/>
        <v>, t.CoStateIncCode = s.CoStateIncCode</v>
      </c>
    </row>
    <row r="11" spans="2:8" x14ac:dyDescent="0.25">
      <c r="B11" s="9" t="str">
        <f>'Column Definition'!F17</f>
        <v>varchar</v>
      </c>
      <c r="C11" s="14" t="str">
        <f>_xlfn.SWITCH(Table4[[#This Row],[Column1]],"int", 0, "Smallint", 0, "tinyint", 0, "Bit", 0, "varchar", "'A'", "nvarchar", "'A'", "char", "'A'", "numeric", 0,"decimal", 0, "date", "'01/01/2000'", "datetime", "'01/01/2000'", "")</f>
        <v>'A'</v>
      </c>
      <c r="D11" s="3" t="str">
        <f>'Column Definition'!C17</f>
        <v>NAICS</v>
      </c>
      <c r="E11" s="9" t="str">
        <f t="shared" ref="E11:E43" si="4">", "&amp;D11</f>
        <v>, NAICS</v>
      </c>
      <c r="F11" s="9" t="str">
        <f t="shared" ref="F11:F43" si="5">", s."&amp;D11</f>
        <v>, s.NAICS</v>
      </c>
      <c r="G11" s="3" t="str">
        <f t="shared" si="3"/>
        <v>OR (s.NAICS &lt;&gt; t.NAICS OR ( t.NAICS Is Null AND s.NAICS Is Not Null) OR ( t.NAICS Is not Null AND s.NAICS Is  Null))</v>
      </c>
      <c r="H11" s="9" t="str">
        <f t="shared" ref="H11:H43" si="6">", t."&amp; D11  &amp; " = s." &amp; D11</f>
        <v>, t.NAICS = s.NAICS</v>
      </c>
    </row>
    <row r="12" spans="2:8" x14ac:dyDescent="0.25">
      <c r="B12" s="9" t="str">
        <f>'Column Definition'!F18</f>
        <v>int</v>
      </c>
      <c r="C12" s="14">
        <f>_xlfn.SWITCH(Table4[[#This Row],[Column1]],"int", 0, "Smallint", 0, "tinyint", 0, "Bit", 0, "varchar", "'A'", "nvarchar", "'A'", "char", "'A'", "numeric", 0,"decimal", 0, "date", "'01/01/2000'", "datetime", "'01/01/2000'", "")</f>
        <v>0</v>
      </c>
      <c r="D12" s="3" t="str">
        <f>'Column Definition'!C18</f>
        <v>IsSSN</v>
      </c>
      <c r="E12" s="9" t="str">
        <f t="shared" si="4"/>
        <v>, IsSSN</v>
      </c>
      <c r="F12" s="9" t="str">
        <f t="shared" si="5"/>
        <v>, s.IsSSN</v>
      </c>
      <c r="G12" s="3" t="str">
        <f t="shared" si="3"/>
        <v>OR (s.IsSSN &lt;&gt; t.IsSSN OR ( t.IsSSN Is Null AND s.IsSSN Is Not Null) OR ( t.IsSSN Is not Null AND s.IsSSN Is  Null))</v>
      </c>
      <c r="H12" s="9" t="str">
        <f t="shared" si="6"/>
        <v>, t.IsSSN = s.IsSSN</v>
      </c>
    </row>
    <row r="13" spans="2:8" x14ac:dyDescent="0.25">
      <c r="B13" s="9" t="str">
        <f>'Column Definition'!F19</f>
        <v>int</v>
      </c>
      <c r="C13" s="14">
        <f>_xlfn.SWITCH(Table4[[#This Row],[Column1]],"int", 0, "Smallint", 0, "tinyint", 0, "Bit", 0, "varchar", "'A'", "nvarchar", "'A'", "char", "'A'", "numeric", 0,"decimal", 0, "date", "'01/01/2000'", "datetime", "'01/01/2000'", "")</f>
        <v>0</v>
      </c>
      <c r="D13" s="3" t="str">
        <f>'Column Definition'!C19</f>
        <v>IsEIN</v>
      </c>
      <c r="E13" s="9" t="str">
        <f t="shared" si="4"/>
        <v>, IsEIN</v>
      </c>
      <c r="F13" s="9" t="str">
        <f t="shared" si="5"/>
        <v>, s.IsEIN</v>
      </c>
      <c r="G13" s="3" t="str">
        <f t="shared" si="3"/>
        <v>OR (s.IsEIN &lt;&gt; t.IsEIN OR ( t.IsEIN Is Null AND s.IsEIN Is Not Null) OR ( t.IsEIN Is not Null AND s.IsEIN Is  Null))</v>
      </c>
      <c r="H13" s="9" t="str">
        <f t="shared" si="6"/>
        <v>, t.IsEIN = s.IsEIN</v>
      </c>
    </row>
    <row r="14" spans="2:8" x14ac:dyDescent="0.25">
      <c r="B14" s="9" t="str">
        <f>'Column Definition'!F20</f>
        <v>int</v>
      </c>
      <c r="C14" s="14">
        <f>_xlfn.SWITCH(Table4[[#This Row],[Column1]],"int", 0, "Smallint", 0, "tinyint", 0, "Bit", 0, "varchar", "'A'", "nvarchar", "'A'", "char", "'A'", "numeric", 0,"decimal", 0, "date", "'01/01/2000'", "datetime", "'01/01/2000'", "")</f>
        <v>0</v>
      </c>
      <c r="D14" s="3" t="str">
        <f>'Column Definition'!C20</f>
        <v>LC_ID_CompanyStep1</v>
      </c>
      <c r="E14" s="9" t="str">
        <f t="shared" si="4"/>
        <v>, LC_ID_CompanyStep1</v>
      </c>
      <c r="F14" s="9" t="str">
        <f t="shared" si="5"/>
        <v>, s.LC_ID_CompanyStep1</v>
      </c>
      <c r="G14" s="3" t="str">
        <f t="shared" si="3"/>
        <v>OR (s.LC_ID_CompanyStep1 &lt;&gt; t.LC_ID_CompanyStep1 OR ( t.LC_ID_CompanyStep1 Is Null AND s.LC_ID_CompanyStep1 Is Not Null) OR ( t.LC_ID_CompanyStep1 Is not Null AND s.LC_ID_CompanyStep1 Is  Null))</v>
      </c>
      <c r="H14" s="9" t="str">
        <f t="shared" si="6"/>
        <v>, t.LC_ID_CompanyStep1 = s.LC_ID_CompanyStep1</v>
      </c>
    </row>
    <row r="15" spans="2:8" x14ac:dyDescent="0.25">
      <c r="B15" s="9" t="str">
        <f>'Column Definition'!F21</f>
        <v>datetime</v>
      </c>
      <c r="C15" s="14" t="str">
        <f>_xlfn.SWITCH(Table4[[#This Row],[Column1]],"int", 0, "Smallint", 0, "tinyint", 0, "Bit", 0, "varchar", "'A'", "nvarchar", "'A'", "char", "'A'", "numeric", 0,"decimal", 0, "date", "'01/01/2000'", "datetime", "'01/01/2000'", "")</f>
        <v>'01/01/2000'</v>
      </c>
      <c r="D15" s="3" t="str">
        <f>'Column Definition'!C21</f>
        <v>T_CreatedDate</v>
      </c>
      <c r="E15" s="9" t="str">
        <f t="shared" si="4"/>
        <v>, T_CreatedDate</v>
      </c>
      <c r="F15" s="9" t="str">
        <f t="shared" si="5"/>
        <v>, s.T_CreatedDate</v>
      </c>
      <c r="G15" s="3" t="str">
        <f t="shared" si="3"/>
        <v>OR (s.T_CreatedDate &lt;&gt; t.T_CreatedDate OR ( t.T_CreatedDate Is Null AND s.T_CreatedDate Is Not Null) OR ( t.T_CreatedDate Is not Null AND s.T_CreatedDate Is  Null))</v>
      </c>
      <c r="H15" s="9" t="str">
        <f t="shared" si="6"/>
        <v>, t.T_CreatedDate = s.T_CreatedDate</v>
      </c>
    </row>
    <row r="16" spans="2:8" x14ac:dyDescent="0.25">
      <c r="B16" s="9" t="str">
        <f>'Column Definition'!F22</f>
        <v>datetime</v>
      </c>
      <c r="C16" s="14" t="str">
        <f>_xlfn.SWITCH(Table4[[#This Row],[Column1]],"int", 0, "Smallint", 0, "tinyint", 0, "Bit", 0, "varchar", "'A'", "nvarchar", "'A'", "char", "'A'", "numeric", 0,"decimal", 0, "date", "'01/01/2000'", "datetime", "'01/01/2000'", "")</f>
        <v>'01/01/2000'</v>
      </c>
      <c r="D16" s="3" t="str">
        <f>'Column Definition'!C22</f>
        <v>T_ModifiedDate</v>
      </c>
      <c r="E16" s="9" t="str">
        <f t="shared" si="4"/>
        <v>, T_ModifiedDate</v>
      </c>
      <c r="F16" s="9" t="str">
        <f t="shared" si="5"/>
        <v>, s.T_ModifiedDate</v>
      </c>
      <c r="G16" s="3" t="str">
        <f t="shared" si="3"/>
        <v>OR (s.T_ModifiedDate &lt;&gt; t.T_ModifiedDate OR ( t.T_ModifiedDate Is Null AND s.T_ModifiedDate Is Not Null) OR ( t.T_ModifiedDate Is not Null AND s.T_ModifiedDate Is  Null))</v>
      </c>
      <c r="H16" s="9" t="str">
        <f t="shared" si="6"/>
        <v>, t.T_ModifiedDate = s.T_ModifiedDate</v>
      </c>
    </row>
    <row r="17" spans="2:8" x14ac:dyDescent="0.25">
      <c r="B17" s="9" t="str">
        <f>'Column Definition'!F23</f>
        <v>datetime</v>
      </c>
      <c r="C17" s="14" t="str">
        <f>_xlfn.SWITCH(Table4[[#This Row],[Column1]],"int", 0, "Smallint", 0, "tinyint", 0, "Bit", 0, "varchar", "'A'", "nvarchar", "'A'", "char", "'A'", "numeric", 0,"decimal", 0, "date", "'01/01/2000'", "datetime", "'01/01/2000'", "")</f>
        <v>'01/01/2000'</v>
      </c>
      <c r="D17" s="3" t="str">
        <f>'Column Definition'!C23</f>
        <v>T_DeletedDate</v>
      </c>
      <c r="E17" s="9" t="str">
        <f t="shared" si="4"/>
        <v>, T_DeletedDate</v>
      </c>
      <c r="F17" s="9" t="str">
        <f t="shared" si="5"/>
        <v>, s.T_DeletedDate</v>
      </c>
      <c r="G17" s="3" t="str">
        <f t="shared" si="3"/>
        <v>OR (s.T_DeletedDate &lt;&gt; t.T_DeletedDate OR ( t.T_DeletedDate Is Null AND s.T_DeletedDate Is Not Null) OR ( t.T_DeletedDate Is not Null AND s.T_DeletedDate Is  Null))</v>
      </c>
      <c r="H17" s="9" t="str">
        <f t="shared" si="6"/>
        <v>, t.T_DeletedDate = s.T_DeletedDate</v>
      </c>
    </row>
    <row r="18" spans="2:8" x14ac:dyDescent="0.25">
      <c r="B18" s="9" t="str">
        <f>'Column Definition'!F24</f>
        <v>tinyint</v>
      </c>
      <c r="C18" s="14">
        <f>_xlfn.SWITCH(Table4[[#This Row],[Column1]],"int", 0, "Smallint", 0, "tinyint", 0, "Bit", 0, "varchar", "'A'", "nvarchar", "'A'", "char", "'A'", "numeric", 0,"decimal", 0, "date", "'01/01/2000'", "datetime", "'01/01/2000'", "")</f>
        <v>0</v>
      </c>
      <c r="D18" s="3" t="str">
        <f>'Column Definition'!C24</f>
        <v>T_DeletedFlag</v>
      </c>
      <c r="E18" s="9" t="str">
        <f t="shared" si="4"/>
        <v>, T_DeletedFlag</v>
      </c>
      <c r="F18" s="9" t="str">
        <f t="shared" si="5"/>
        <v>, s.T_DeletedFlag</v>
      </c>
      <c r="G18" s="3" t="str">
        <f t="shared" si="3"/>
        <v>OR (s.T_DeletedFlag &lt;&gt; t.T_DeletedFlag OR ( t.T_DeletedFlag Is Null AND s.T_DeletedFlag Is Not Null) OR ( t.T_DeletedFlag Is not Null AND s.T_DeletedFlag Is  Null))</v>
      </c>
      <c r="H18" s="9" t="str">
        <f t="shared" si="6"/>
        <v>, t.T_DeletedFlag = s.T_DeletedFlag</v>
      </c>
    </row>
    <row r="19" spans="2:8" x14ac:dyDescent="0.25">
      <c r="B19" s="9" t="str">
        <f>'Column Definition'!F25</f>
        <v>int</v>
      </c>
      <c r="C19" s="14">
        <f>_xlfn.SWITCH(Table4[[#This Row],[Column1]],"int", 0, "Smallint", 0, "tinyint", 0, "Bit", 0, "varchar", "'A'", "nvarchar", "'A'", "char", "'A'", "numeric", 0,"decimal", 0, "date", "'01/01/2000'", "datetime", "'01/01/2000'", "")</f>
        <v>0</v>
      </c>
      <c r="D19" s="3" t="str">
        <f>'Column Definition'!C25</f>
        <v>ID_CompanyStep3</v>
      </c>
      <c r="E19" s="9" t="str">
        <f t="shared" si="4"/>
        <v>, ID_CompanyStep3</v>
      </c>
      <c r="F19" s="9" t="str">
        <f t="shared" si="5"/>
        <v>, s.ID_CompanyStep3</v>
      </c>
      <c r="G19" s="3" t="str">
        <f t="shared" si="3"/>
        <v>OR (s.ID_CompanyStep3 &lt;&gt; t.ID_CompanyStep3 OR ( t.ID_CompanyStep3 Is Null AND s.ID_CompanyStep3 Is Not Null) OR ( t.ID_CompanyStep3 Is not Null AND s.ID_CompanyStep3 Is  Null))</v>
      </c>
      <c r="H19" s="9" t="str">
        <f t="shared" si="6"/>
        <v>, t.ID_CompanyStep3 = s.ID_CompanyStep3</v>
      </c>
    </row>
    <row r="20" spans="2:8" x14ac:dyDescent="0.25">
      <c r="B20" s="9" t="str">
        <f>'Column Definition'!F26</f>
        <v>int</v>
      </c>
      <c r="C20" s="14">
        <f>_xlfn.SWITCH(Table4[[#This Row],[Column1]],"int", 0, "Smallint", 0, "tinyint", 0, "Bit", 0, "varchar", "'A'", "nvarchar", "'A'", "char", "'A'", "numeric", 0,"decimal", 0, "date", "'01/01/2000'", "datetime", "'01/01/2000'", "")</f>
        <v>0</v>
      </c>
      <c r="D20" s="3" t="str">
        <f>'Column Definition'!C26</f>
        <v>CompanyNum</v>
      </c>
      <c r="E20" s="9" t="str">
        <f t="shared" si="4"/>
        <v>, CompanyNum</v>
      </c>
      <c r="F20" s="9" t="str">
        <f t="shared" si="5"/>
        <v>, s.CompanyNum</v>
      </c>
      <c r="G20" s="3" t="str">
        <f t="shared" si="3"/>
        <v>OR (s.CompanyNum &lt;&gt; t.CompanyNum OR ( t.CompanyNum Is Null AND s.CompanyNum Is Not Null) OR ( t.CompanyNum Is not Null AND s.CompanyNum Is  Null))</v>
      </c>
      <c r="H20" s="9" t="str">
        <f t="shared" si="6"/>
        <v>, t.CompanyNum = s.CompanyNum</v>
      </c>
    </row>
    <row r="21" spans="2:8" x14ac:dyDescent="0.25">
      <c r="B21" s="9" t="str">
        <f>'Column Definition'!F27</f>
        <v>tinyint</v>
      </c>
      <c r="C21" s="14">
        <f>_xlfn.SWITCH(Table4[[#This Row],[Column1]],"int", 0, "Smallint", 0, "tinyint", 0, "Bit", 0, "varchar", "'A'", "nvarchar", "'A'", "char", "'A'", "numeric", 0,"decimal", 0, "date", "'01/01/2000'", "datetime", "'01/01/2000'", "")</f>
        <v>0</v>
      </c>
      <c r="D21" s="3" t="str">
        <f>'Column Definition'!C27</f>
        <v>CompanyRelation</v>
      </c>
      <c r="E21" s="9" t="str">
        <f t="shared" si="4"/>
        <v>, CompanyRelation</v>
      </c>
      <c r="F21" s="9" t="str">
        <f t="shared" si="5"/>
        <v>, s.CompanyRelation</v>
      </c>
      <c r="G21" s="3" t="str">
        <f t="shared" si="3"/>
        <v>OR (s.CompanyRelation &lt;&gt; t.CompanyRelation OR ( t.CompanyRelation Is Null AND s.CompanyRelation Is Not Null) OR ( t.CompanyRelation Is not Null AND s.CompanyRelation Is  Null))</v>
      </c>
      <c r="H21" s="9" t="str">
        <f t="shared" si="6"/>
        <v>, t.CompanyRelation = s.CompanyRelation</v>
      </c>
    </row>
    <row r="22" spans="2:8" x14ac:dyDescent="0.25">
      <c r="B22" s="9">
        <f>'Column Definition'!F28</f>
        <v>0</v>
      </c>
      <c r="C22" s="14" t="str">
        <f>_xlfn.SWITCH(Table4[[#This Row],[Column1]],"int", 0, "Smallint", 0, "tinyint", 0, "Bit", 0, "varchar", "'A'", "nvarchar", "'A'", "char", "'A'", "numeric", 0,"decimal", 0, "date", "'01/01/2000'", "datetime", "'01/01/2000'", "")</f>
        <v/>
      </c>
      <c r="D22" s="3">
        <f>'Column Definition'!C28</f>
        <v>0</v>
      </c>
      <c r="E22" s="9" t="str">
        <f t="shared" si="4"/>
        <v>, 0</v>
      </c>
      <c r="F22" s="9" t="str">
        <f t="shared" si="5"/>
        <v>, s.0</v>
      </c>
      <c r="G22" s="3" t="str">
        <f t="shared" si="3"/>
        <v>OR (s.0 &lt;&gt; t.0 OR ( t.0 Is Null AND s.0 Is Not Null) OR ( t.0 Is not Null AND s.0 Is  Null))</v>
      </c>
      <c r="H22" s="9" t="str">
        <f t="shared" si="6"/>
        <v>, t.0 = s.0</v>
      </c>
    </row>
    <row r="23" spans="2:8" x14ac:dyDescent="0.25">
      <c r="B23" s="9">
        <f>'Column Definition'!F29</f>
        <v>0</v>
      </c>
      <c r="C23" s="14" t="str">
        <f>_xlfn.SWITCH(Table4[[#This Row],[Column1]],"int", 0, "Smallint", 0, "tinyint", 0, "Bit", 0, "varchar", "'A'", "nvarchar", "'A'", "char", "'A'", "numeric", 0,"decimal", 0, "date", "'01/01/2000'", "datetime", "'01/01/2000'", "")</f>
        <v/>
      </c>
      <c r="D23" s="3">
        <f>'Column Definition'!C29</f>
        <v>0</v>
      </c>
      <c r="E23" s="9" t="str">
        <f t="shared" si="4"/>
        <v>, 0</v>
      </c>
      <c r="F23" s="9" t="str">
        <f t="shared" si="5"/>
        <v>, s.0</v>
      </c>
      <c r="G23" s="3" t="str">
        <f t="shared" si="3"/>
        <v>OR (s.0 &lt;&gt; t.0 OR ( t.0 Is Null AND s.0 Is Not Null) OR ( t.0 Is not Null AND s.0 Is  Null))</v>
      </c>
      <c r="H23" s="9" t="str">
        <f t="shared" si="6"/>
        <v>, t.0 = s.0</v>
      </c>
    </row>
    <row r="24" spans="2:8" x14ac:dyDescent="0.25">
      <c r="B24" s="9">
        <f>'Column Definition'!F30</f>
        <v>0</v>
      </c>
      <c r="C24" s="14" t="str">
        <f>_xlfn.SWITCH(Table4[[#This Row],[Column1]],"int", 0, "Smallint", 0, "tinyint", 0, "Bit", 0, "varchar", "'A'", "nvarchar", "'A'", "char", "'A'", "numeric", 0,"decimal", 0, "date", "'01/01/2000'", "datetime", "'01/01/2000'", "")</f>
        <v/>
      </c>
      <c r="D24" s="3">
        <f>'Column Definition'!C30</f>
        <v>0</v>
      </c>
      <c r="E24" s="9" t="str">
        <f t="shared" si="4"/>
        <v>, 0</v>
      </c>
      <c r="F24" s="9" t="str">
        <f t="shared" si="5"/>
        <v>, s.0</v>
      </c>
      <c r="G24" s="3" t="str">
        <f t="shared" si="3"/>
        <v>OR (s.0 &lt;&gt; t.0 OR ( t.0 Is Null AND s.0 Is Not Null) OR ( t.0 Is not Null AND s.0 Is  Null))</v>
      </c>
      <c r="H24" s="9" t="str">
        <f t="shared" si="6"/>
        <v>, t.0 = s.0</v>
      </c>
    </row>
    <row r="25" spans="2:8" x14ac:dyDescent="0.25">
      <c r="B25" s="9">
        <f>'Column Definition'!F31</f>
        <v>0</v>
      </c>
      <c r="C25" s="14" t="str">
        <f>_xlfn.SWITCH(Table4[[#This Row],[Column1]],"int", 0, "Smallint", 0, "tinyint", 0, "Bit", 0, "varchar", "'A'", "nvarchar", "'A'", "char", "'A'", "numeric", 0,"decimal", 0, "date", "'01/01/2000'", "datetime", "'01/01/2000'", "")</f>
        <v/>
      </c>
      <c r="D25" s="3">
        <f>'Column Definition'!C31</f>
        <v>0</v>
      </c>
      <c r="E25" s="9" t="str">
        <f t="shared" si="4"/>
        <v>, 0</v>
      </c>
      <c r="F25" s="9" t="str">
        <f t="shared" si="5"/>
        <v>, s.0</v>
      </c>
      <c r="G25" s="3" t="str">
        <f t="shared" si="3"/>
        <v>OR (s.0 &lt;&gt; t.0 OR ( t.0 Is Null AND s.0 Is Not Null) OR ( t.0 Is not Null AND s.0 Is  Null))</v>
      </c>
      <c r="H25" s="9" t="str">
        <f t="shared" si="6"/>
        <v>, t.0 = s.0</v>
      </c>
    </row>
    <row r="26" spans="2:8" x14ac:dyDescent="0.25">
      <c r="B26" s="9">
        <f>'Column Definition'!F32</f>
        <v>0</v>
      </c>
      <c r="C26" s="14" t="str">
        <f>_xlfn.SWITCH(Table4[[#This Row],[Column1]],"int", 0, "Smallint", 0, "tinyint", 0, "Bit", 0, "varchar", "'A'", "nvarchar", "'A'", "char", "'A'", "numeric", 0,"decimal", 0, "date", "'01/01/2000'", "datetime", "'01/01/2000'", "")</f>
        <v/>
      </c>
      <c r="D26" s="3">
        <f>'Column Definition'!C32</f>
        <v>0</v>
      </c>
      <c r="E26" s="9" t="str">
        <f t="shared" si="4"/>
        <v>, 0</v>
      </c>
      <c r="F26" s="9" t="str">
        <f t="shared" si="5"/>
        <v>, s.0</v>
      </c>
      <c r="G26" s="3" t="str">
        <f t="shared" si="3"/>
        <v>OR (s.0 &lt;&gt; t.0 OR ( t.0 Is Null AND s.0 Is Not Null) OR ( t.0 Is not Null AND s.0 Is  Null))</v>
      </c>
      <c r="H26" s="9" t="str">
        <f t="shared" si="6"/>
        <v>, t.0 = s.0</v>
      </c>
    </row>
    <row r="27" spans="2:8" x14ac:dyDescent="0.25">
      <c r="B27" s="9">
        <f>'Column Definition'!F33</f>
        <v>0</v>
      </c>
      <c r="C27" s="14" t="str">
        <f>_xlfn.SWITCH(Table4[[#This Row],[Column1]],"int", 0, "Smallint", 0, "tinyint", 0, "Bit", 0, "varchar", "'A'", "nvarchar", "'A'", "char", "'A'", "numeric", 0,"decimal", 0, "date", "'01/01/2000'", "datetime", "'01/01/2000'", "")</f>
        <v/>
      </c>
      <c r="D27" s="3">
        <f>'Column Definition'!C33</f>
        <v>0</v>
      </c>
      <c r="E27" s="9" t="str">
        <f t="shared" si="4"/>
        <v>, 0</v>
      </c>
      <c r="F27" s="9" t="str">
        <f t="shared" si="5"/>
        <v>, s.0</v>
      </c>
      <c r="G27" s="3" t="str">
        <f t="shared" si="3"/>
        <v>OR (s.0 &lt;&gt; t.0 OR ( t.0 Is Null AND s.0 Is Not Null) OR ( t.0 Is not Null AND s.0 Is  Null))</v>
      </c>
      <c r="H27" s="9" t="str">
        <f t="shared" si="6"/>
        <v>, t.0 = s.0</v>
      </c>
    </row>
    <row r="28" spans="2:8" x14ac:dyDescent="0.25">
      <c r="B28" s="9">
        <f>'Column Definition'!F34</f>
        <v>0</v>
      </c>
      <c r="C28" s="14" t="str">
        <f>_xlfn.SWITCH(Table4[[#This Row],[Column1]],"int", 0, "Smallint", 0, "tinyint", 0, "Bit", 0, "varchar", "'A'", "nvarchar", "'A'", "char", "'A'", "numeric", 0,"decimal", 0, "date", "'01/01/2000'", "datetime", "'01/01/2000'", "")</f>
        <v/>
      </c>
      <c r="D28" s="3">
        <f>'Column Definition'!C34</f>
        <v>0</v>
      </c>
      <c r="E28" s="9" t="str">
        <f t="shared" si="4"/>
        <v>, 0</v>
      </c>
      <c r="F28" s="9" t="str">
        <f t="shared" si="5"/>
        <v>, s.0</v>
      </c>
      <c r="G28" s="3" t="str">
        <f t="shared" si="3"/>
        <v>OR (s.0 &lt;&gt; t.0 OR ( t.0 Is Null AND s.0 Is Not Null) OR ( t.0 Is not Null AND s.0 Is  Null))</v>
      </c>
      <c r="H28" s="9" t="str">
        <f t="shared" si="6"/>
        <v>, t.0 = s.0</v>
      </c>
    </row>
    <row r="29" spans="2:8" x14ac:dyDescent="0.25">
      <c r="B29" s="9">
        <f>'Column Definition'!F35</f>
        <v>0</v>
      </c>
      <c r="C29" s="14" t="str">
        <f>_xlfn.SWITCH(Table4[[#This Row],[Column1]],"int", 0, "Smallint", 0, "tinyint", 0, "Bit", 0, "varchar", "'A'", "nvarchar", "'A'", "char", "'A'", "numeric", 0,"decimal", 0, "date", "'01/01/2000'", "datetime", "'01/01/2000'", "")</f>
        <v/>
      </c>
      <c r="D29" s="3">
        <f>'Column Definition'!C35</f>
        <v>0</v>
      </c>
      <c r="E29" s="9" t="str">
        <f t="shared" si="4"/>
        <v>, 0</v>
      </c>
      <c r="F29" s="9" t="str">
        <f t="shared" si="5"/>
        <v>, s.0</v>
      </c>
      <c r="G29" s="3" t="str">
        <f t="shared" si="3"/>
        <v>OR (s.0 &lt;&gt; t.0 OR ( t.0 Is Null AND s.0 Is Not Null) OR ( t.0 Is not Null AND s.0 Is  Null))</v>
      </c>
      <c r="H29" s="9" t="str">
        <f t="shared" si="6"/>
        <v>, t.0 = s.0</v>
      </c>
    </row>
    <row r="30" spans="2:8" x14ac:dyDescent="0.25">
      <c r="B30" s="9">
        <f>'Column Definition'!F36</f>
        <v>0</v>
      </c>
      <c r="C30" s="14" t="str">
        <f>_xlfn.SWITCH(Table4[[#This Row],[Column1]],"int", 0, "Smallint", 0, "tinyint", 0, "Bit", 0, "varchar", "'A'", "nvarchar", "'A'", "char", "'A'", "numeric", 0,"decimal", 0, "date", "'01/01/2000'", "datetime", "'01/01/2000'", "")</f>
        <v/>
      </c>
      <c r="D30" s="3">
        <f>'Column Definition'!C36</f>
        <v>0</v>
      </c>
      <c r="E30" s="9" t="str">
        <f t="shared" si="4"/>
        <v>, 0</v>
      </c>
      <c r="F30" s="9" t="str">
        <f t="shared" si="5"/>
        <v>, s.0</v>
      </c>
      <c r="G30" s="3" t="str">
        <f t="shared" si="3"/>
        <v>OR (s.0 &lt;&gt; t.0 OR ( t.0 Is Null AND s.0 Is Not Null) OR ( t.0 Is not Null AND s.0 Is  Null))</v>
      </c>
      <c r="H30" s="9" t="str">
        <f t="shared" si="6"/>
        <v>, t.0 = s.0</v>
      </c>
    </row>
    <row r="31" spans="2:8" x14ac:dyDescent="0.25">
      <c r="B31" s="9">
        <f>'Column Definition'!F37</f>
        <v>0</v>
      </c>
      <c r="C31" s="14" t="str">
        <f>_xlfn.SWITCH(Table4[[#This Row],[Column1]],"int", 0, "Smallint", 0, "tinyint", 0, "Bit", 0, "varchar", "'A'", "nvarchar", "'A'", "char", "'A'", "numeric", 0,"decimal", 0, "date", "'01/01/2000'", "datetime", "'01/01/2000'", "")</f>
        <v/>
      </c>
      <c r="D31" s="3">
        <f>'Column Definition'!C37</f>
        <v>0</v>
      </c>
      <c r="E31" s="9" t="str">
        <f t="shared" si="4"/>
        <v>, 0</v>
      </c>
      <c r="F31" s="9" t="str">
        <f t="shared" si="5"/>
        <v>, s.0</v>
      </c>
      <c r="G31" s="3" t="str">
        <f t="shared" si="3"/>
        <v>OR (s.0 &lt;&gt; t.0 OR ( t.0 Is Null AND s.0 Is Not Null) OR ( t.0 Is not Null AND s.0 Is  Null))</v>
      </c>
      <c r="H31" s="9" t="str">
        <f t="shared" si="6"/>
        <v>, t.0 = s.0</v>
      </c>
    </row>
    <row r="32" spans="2:8" x14ac:dyDescent="0.25">
      <c r="B32" s="9">
        <f>'Column Definition'!F38</f>
        <v>0</v>
      </c>
      <c r="C32" s="14" t="str">
        <f>_xlfn.SWITCH(Table4[[#This Row],[Column1]],"int", 0, "Smallint", 0, "tinyint", 0, "Bit", 0, "varchar", "'A'", "nvarchar", "'A'", "char", "'A'", "numeric", 0,"decimal", 0, "date", "'01/01/2000'", "datetime", "'01/01/2000'", "")</f>
        <v/>
      </c>
      <c r="D32" s="3">
        <f>'Column Definition'!C38</f>
        <v>0</v>
      </c>
      <c r="E32" s="9" t="str">
        <f t="shared" si="4"/>
        <v>, 0</v>
      </c>
      <c r="F32" s="9" t="str">
        <f t="shared" si="5"/>
        <v>, s.0</v>
      </c>
      <c r="G32" s="3" t="str">
        <f t="shared" si="3"/>
        <v>OR (s.0 &lt;&gt; t.0 OR ( t.0 Is Null AND s.0 Is Not Null) OR ( t.0 Is not Null AND s.0 Is  Null))</v>
      </c>
      <c r="H32" s="9" t="str">
        <f t="shared" si="6"/>
        <v>, t.0 = s.0</v>
      </c>
    </row>
    <row r="33" spans="2:8" x14ac:dyDescent="0.25">
      <c r="B33" s="9">
        <f>'Column Definition'!F39</f>
        <v>0</v>
      </c>
      <c r="C33" s="14" t="str">
        <f>_xlfn.SWITCH(Table4[[#This Row],[Column1]],"int", 0, "Smallint", 0, "tinyint", 0, "Bit", 0, "varchar", "'A'", "nvarchar", "'A'", "char", "'A'", "numeric", 0,"decimal", 0, "date", "'01/01/2000'", "datetime", "'01/01/2000'", "")</f>
        <v/>
      </c>
      <c r="D33" s="3">
        <f>'Column Definition'!C39</f>
        <v>0</v>
      </c>
      <c r="E33" s="9" t="str">
        <f t="shared" si="4"/>
        <v>, 0</v>
      </c>
      <c r="F33" s="9" t="str">
        <f t="shared" si="5"/>
        <v>, s.0</v>
      </c>
      <c r="G33" s="3" t="str">
        <f t="shared" si="3"/>
        <v>OR (s.0 &lt;&gt; t.0 OR ( t.0 Is Null AND s.0 Is Not Null) OR ( t.0 Is not Null AND s.0 Is  Null))</v>
      </c>
      <c r="H33" s="9" t="str">
        <f t="shared" si="6"/>
        <v>, t.0 = s.0</v>
      </c>
    </row>
    <row r="34" spans="2:8" x14ac:dyDescent="0.25">
      <c r="B34" s="9">
        <f>'Column Definition'!F40</f>
        <v>0</v>
      </c>
      <c r="C34" s="14" t="str">
        <f>_xlfn.SWITCH(Table4[[#This Row],[Column1]],"int", 0, "Smallint", 0, "tinyint", 0, "Bit", 0, "varchar", "'A'", "nvarchar", "'A'", "char", "'A'", "numeric", 0,"decimal", 0, "date", "'01/01/2000'", "datetime", "'01/01/2000'", "")</f>
        <v/>
      </c>
      <c r="D34" s="3">
        <f>'Column Definition'!C40</f>
        <v>0</v>
      </c>
      <c r="E34" s="9" t="str">
        <f t="shared" si="4"/>
        <v>, 0</v>
      </c>
      <c r="F34" s="9" t="str">
        <f t="shared" si="5"/>
        <v>, s.0</v>
      </c>
      <c r="G34" s="3" t="str">
        <f t="shared" si="3"/>
        <v>OR (s.0 &lt;&gt; t.0 OR ( t.0 Is Null AND s.0 Is Not Null) OR ( t.0 Is not Null AND s.0 Is  Null))</v>
      </c>
      <c r="H34" s="9" t="str">
        <f t="shared" si="6"/>
        <v>, t.0 = s.0</v>
      </c>
    </row>
    <row r="35" spans="2:8" x14ac:dyDescent="0.25">
      <c r="B35" s="9">
        <f>'Column Definition'!F41</f>
        <v>0</v>
      </c>
      <c r="C35" s="14" t="str">
        <f>_xlfn.SWITCH(Table4[[#This Row],[Column1]],"int", 0, "Smallint", 0, "tinyint", 0, "Bit", 0, "varchar", "'A'", "nvarchar", "'A'", "char", "'A'", "numeric", 0,"decimal", 0, "date", "'01/01/2000'", "datetime", "'01/01/2000'", "")</f>
        <v/>
      </c>
      <c r="D35" s="3">
        <f>'Column Definition'!C41</f>
        <v>0</v>
      </c>
      <c r="E35" s="9" t="str">
        <f t="shared" si="4"/>
        <v>, 0</v>
      </c>
      <c r="F35" s="9" t="str">
        <f t="shared" si="5"/>
        <v>, s.0</v>
      </c>
      <c r="G35" s="3" t="str">
        <f t="shared" si="3"/>
        <v>OR (s.0 &lt;&gt; t.0 OR ( t.0 Is Null AND s.0 Is Not Null) OR ( t.0 Is not Null AND s.0 Is  Null))</v>
      </c>
      <c r="H35" s="9" t="str">
        <f t="shared" si="6"/>
        <v>, t.0 = s.0</v>
      </c>
    </row>
    <row r="36" spans="2:8" x14ac:dyDescent="0.25">
      <c r="B36" s="9">
        <f>'Column Definition'!F42</f>
        <v>0</v>
      </c>
      <c r="C36" s="14" t="str">
        <f>_xlfn.SWITCH(Table4[[#This Row],[Column1]],"int", 0, "Smallint", 0, "tinyint", 0, "Bit", 0, "varchar", "'A'", "nvarchar", "'A'", "char", "'A'", "numeric", 0,"decimal", 0, "date", "'01/01/2000'", "datetime", "'01/01/2000'", "")</f>
        <v/>
      </c>
      <c r="D36" s="3">
        <f>'Column Definition'!C42</f>
        <v>0</v>
      </c>
      <c r="E36" s="9" t="str">
        <f t="shared" si="4"/>
        <v>, 0</v>
      </c>
      <c r="F36" s="9" t="str">
        <f t="shared" si="5"/>
        <v>, s.0</v>
      </c>
      <c r="G36" s="3" t="str">
        <f t="shared" si="3"/>
        <v>OR (s.0 &lt;&gt; t.0 OR ( t.0 Is Null AND s.0 Is Not Null) OR ( t.0 Is not Null AND s.0 Is  Null))</v>
      </c>
      <c r="H36" s="9" t="str">
        <f t="shared" si="6"/>
        <v>, t.0 = s.0</v>
      </c>
    </row>
    <row r="37" spans="2:8" x14ac:dyDescent="0.25">
      <c r="B37" s="9">
        <f>'Column Definition'!F43</f>
        <v>0</v>
      </c>
      <c r="C37" s="14" t="str">
        <f>_xlfn.SWITCH(Table4[[#This Row],[Column1]],"int", 0, "Smallint", 0, "tinyint", 0, "Bit", 0, "varchar", "'A'", "nvarchar", "'A'", "char", "'A'", "numeric", 0,"decimal", 0, "date", "'01/01/2000'", "datetime", "'01/01/2000'", "")</f>
        <v/>
      </c>
      <c r="D37" s="3">
        <f>'Column Definition'!C43</f>
        <v>0</v>
      </c>
      <c r="E37" s="9" t="str">
        <f t="shared" si="4"/>
        <v>, 0</v>
      </c>
      <c r="F37" s="9" t="str">
        <f t="shared" si="5"/>
        <v>, s.0</v>
      </c>
      <c r="G37" s="3" t="str">
        <f t="shared" si="3"/>
        <v>OR (s.0 &lt;&gt; t.0 OR ( t.0 Is Null AND s.0 Is Not Null) OR ( t.0 Is not Null AND s.0 Is  Null))</v>
      </c>
      <c r="H37" s="9" t="str">
        <f t="shared" si="6"/>
        <v>, t.0 = s.0</v>
      </c>
    </row>
    <row r="38" spans="2:8" x14ac:dyDescent="0.25">
      <c r="B38" s="9">
        <f>'Column Definition'!F44</f>
        <v>0</v>
      </c>
      <c r="C38" s="14" t="str">
        <f>_xlfn.SWITCH(Table4[[#This Row],[Column1]],"int", 0, "Smallint", 0, "tinyint", 0, "Bit", 0, "varchar", "'A'", "nvarchar", "'A'", "char", "'A'", "numeric", 0,"decimal", 0, "date", "'01/01/2000'", "datetime", "'01/01/2000'", "")</f>
        <v/>
      </c>
      <c r="D38" s="3">
        <f>'Column Definition'!C44</f>
        <v>0</v>
      </c>
      <c r="E38" s="9" t="str">
        <f t="shared" si="4"/>
        <v>, 0</v>
      </c>
      <c r="F38" s="9" t="str">
        <f t="shared" si="5"/>
        <v>, s.0</v>
      </c>
      <c r="G38" s="3" t="str">
        <f t="shared" si="3"/>
        <v>OR (s.0 &lt;&gt; t.0 OR ( t.0 Is Null AND s.0 Is Not Null) OR ( t.0 Is not Null AND s.0 Is  Null))</v>
      </c>
      <c r="H38" s="9" t="str">
        <f t="shared" si="6"/>
        <v>, t.0 = s.0</v>
      </c>
    </row>
    <row r="39" spans="2:8" x14ac:dyDescent="0.25">
      <c r="B39" s="9">
        <f>'Column Definition'!F45</f>
        <v>0</v>
      </c>
      <c r="C39" s="14" t="str">
        <f>_xlfn.SWITCH(Table4[[#This Row],[Column1]],"int", 0, "Smallint", 0, "tinyint", 0, "Bit", 0, "varchar", "'A'", "nvarchar", "'A'", "char", "'A'", "numeric", 0,"decimal", 0, "date", "'01/01/2000'", "datetime", "'01/01/2000'", "")</f>
        <v/>
      </c>
      <c r="D39" s="3">
        <f>'Column Definition'!C45</f>
        <v>0</v>
      </c>
      <c r="E39" s="9" t="str">
        <f t="shared" si="4"/>
        <v>, 0</v>
      </c>
      <c r="F39" s="9" t="str">
        <f t="shared" si="5"/>
        <v>, s.0</v>
      </c>
      <c r="G39" s="3" t="str">
        <f t="shared" si="3"/>
        <v>OR (s.0 &lt;&gt; t.0 OR ( t.0 Is Null AND s.0 Is Not Null) OR ( t.0 Is not Null AND s.0 Is  Null))</v>
      </c>
      <c r="H39" s="9" t="str">
        <f t="shared" si="6"/>
        <v>, t.0 = s.0</v>
      </c>
    </row>
    <row r="40" spans="2:8" x14ac:dyDescent="0.25">
      <c r="B40" s="9">
        <f>'Column Definition'!F46</f>
        <v>0</v>
      </c>
      <c r="C40" s="14" t="str">
        <f>_xlfn.SWITCH(Table4[[#This Row],[Column1]],"int", 0, "Smallint", 0, "tinyint", 0, "Bit", 0, "varchar", "'A'", "nvarchar", "'A'", "char", "'A'", "numeric", 0,"decimal", 0, "date", "'01/01/2000'", "datetime", "'01/01/2000'", "")</f>
        <v/>
      </c>
      <c r="D40" s="3">
        <f>'Column Definition'!C46</f>
        <v>0</v>
      </c>
      <c r="E40" s="9" t="str">
        <f t="shared" si="4"/>
        <v>, 0</v>
      </c>
      <c r="F40" s="9" t="str">
        <f t="shared" si="5"/>
        <v>, s.0</v>
      </c>
      <c r="G40" s="3" t="str">
        <f t="shared" si="3"/>
        <v>OR (s.0 &lt;&gt; t.0 OR ( t.0 Is Null AND s.0 Is Not Null) OR ( t.0 Is not Null AND s.0 Is  Null))</v>
      </c>
      <c r="H40" s="9" t="str">
        <f t="shared" si="6"/>
        <v>, t.0 = s.0</v>
      </c>
    </row>
    <row r="41" spans="2:8" x14ac:dyDescent="0.25">
      <c r="B41" s="9">
        <f>'Column Definition'!F47</f>
        <v>0</v>
      </c>
      <c r="C41" s="14" t="str">
        <f>_xlfn.SWITCH(Table4[[#This Row],[Column1]],"int", 0, "Smallint", 0, "tinyint", 0, "Bit", 0, "varchar", "'A'", "nvarchar", "'A'", "char", "'A'", "numeric", 0,"decimal", 0, "date", "'01/01/2000'", "datetime", "'01/01/2000'", "")</f>
        <v/>
      </c>
      <c r="D41" s="3">
        <f>'Column Definition'!C47</f>
        <v>0</v>
      </c>
      <c r="E41" s="9" t="str">
        <f t="shared" si="4"/>
        <v>, 0</v>
      </c>
      <c r="F41" s="9" t="str">
        <f t="shared" si="5"/>
        <v>, s.0</v>
      </c>
      <c r="G41" s="3" t="str">
        <f t="shared" si="3"/>
        <v>OR (s.0 &lt;&gt; t.0 OR ( t.0 Is Null AND s.0 Is Not Null) OR ( t.0 Is not Null AND s.0 Is  Null))</v>
      </c>
      <c r="H41" s="9" t="str">
        <f t="shared" si="6"/>
        <v>, t.0 = s.0</v>
      </c>
    </row>
    <row r="42" spans="2:8" x14ac:dyDescent="0.25">
      <c r="B42" s="9">
        <f>'Column Definition'!F48</f>
        <v>0</v>
      </c>
      <c r="C42" s="14" t="str">
        <f>_xlfn.SWITCH(Table4[[#This Row],[Column1]],"int", 0, "Smallint", 0, "tinyint", 0, "Bit", 0, "varchar", "'A'", "nvarchar", "'A'", "char", "'A'", "numeric", 0,"decimal", 0, "date", "'01/01/2000'", "datetime", "'01/01/2000'", "")</f>
        <v/>
      </c>
      <c r="D42" s="3">
        <f>'Column Definition'!C48</f>
        <v>0</v>
      </c>
      <c r="E42" s="9" t="str">
        <f t="shared" si="4"/>
        <v>, 0</v>
      </c>
      <c r="F42" s="9" t="str">
        <f t="shared" si="5"/>
        <v>, s.0</v>
      </c>
      <c r="G42" s="3" t="str">
        <f t="shared" si="3"/>
        <v>OR (s.0 &lt;&gt; t.0 OR ( t.0 Is Null AND s.0 Is Not Null) OR ( t.0 Is not Null AND s.0 Is  Null))</v>
      </c>
      <c r="H42" s="9" t="str">
        <f t="shared" si="6"/>
        <v>, t.0 = s.0</v>
      </c>
    </row>
    <row r="43" spans="2:8" x14ac:dyDescent="0.25">
      <c r="B43" s="9">
        <f>'Column Definition'!F49</f>
        <v>0</v>
      </c>
      <c r="C43" s="14" t="str">
        <f>_xlfn.SWITCH(Table4[[#This Row],[Column1]],"int", 0, "Smallint", 0, "tinyint", 0, "Bit", 0, "varchar", "'A'", "nvarchar", "'A'", "char", "'A'", "numeric", 0,"decimal", 0, "date", "'01/01/2000'", "datetime", "'01/01/2000'", "")</f>
        <v/>
      </c>
      <c r="D43" s="3">
        <f>'Column Definition'!C49</f>
        <v>0</v>
      </c>
      <c r="E43" s="9" t="str">
        <f t="shared" si="4"/>
        <v>, 0</v>
      </c>
      <c r="F43" s="9" t="str">
        <f t="shared" si="5"/>
        <v>, s.0</v>
      </c>
      <c r="G43" s="3" t="str">
        <f t="shared" si="3"/>
        <v>OR (s.0 &lt;&gt; t.0 OR ( t.0 Is Null AND s.0 Is Not Null) OR ( t.0 Is not Null AND s.0 Is  Null))</v>
      </c>
      <c r="H43" s="9" t="str">
        <f t="shared" si="6"/>
        <v>, t.0 = s.0</v>
      </c>
    </row>
    <row r="44" spans="2:8" x14ac:dyDescent="0.25">
      <c r="B44" s="9">
        <f>'Column Definition'!F50</f>
        <v>0</v>
      </c>
      <c r="C44" s="14" t="str">
        <f>_xlfn.SWITCH(Table4[[#This Row],[Column1]],"int", 0, "Smallint", 0, "tinyint", 0, "Bit", 0, "varchar", "'A'", "nvarchar", "'A'", "char", "'A'", "numeric", 0,"decimal", 0, "date", "'01/01/2000'", "datetime", "'01/01/2000'", "")</f>
        <v/>
      </c>
      <c r="D44" s="3">
        <f>'Column Definition'!C50</f>
        <v>0</v>
      </c>
      <c r="E44" s="9" t="str">
        <f t="shared" ref="E44:E75" si="7">", "&amp;D44</f>
        <v>, 0</v>
      </c>
      <c r="F44" s="9" t="str">
        <f t="shared" ref="F44:F75" si="8">", s."&amp;D44</f>
        <v>, s.0</v>
      </c>
      <c r="G44" s="3" t="str">
        <f t="shared" si="3"/>
        <v>OR (s.0 &lt;&gt; t.0 OR ( t.0 Is Null AND s.0 Is Not Null) OR ( t.0 Is not Null AND s.0 Is  Null))</v>
      </c>
      <c r="H44" s="9" t="str">
        <f t="shared" ref="H44:H75" si="9">", t."&amp; D44  &amp; " = s." &amp; D44</f>
        <v>, t.0 = s.0</v>
      </c>
    </row>
    <row r="45" spans="2:8" x14ac:dyDescent="0.25">
      <c r="B45" s="9">
        <f>'Column Definition'!F51</f>
        <v>0</v>
      </c>
      <c r="C45" s="14" t="str">
        <f>_xlfn.SWITCH(Table4[[#This Row],[Column1]],"int", 0, "Smallint", 0, "tinyint", 0, "Bit", 0, "varchar", "'A'", "nvarchar", "'A'", "char", "'A'", "numeric", 0,"decimal", 0, "date", "'01/01/2000'", "datetime", "'01/01/2000'", "")</f>
        <v/>
      </c>
      <c r="D45" s="3">
        <f>'Column Definition'!C51</f>
        <v>0</v>
      </c>
      <c r="E45" s="9" t="str">
        <f t="shared" si="7"/>
        <v>, 0</v>
      </c>
      <c r="F45" s="9" t="str">
        <f t="shared" si="8"/>
        <v>, s.0</v>
      </c>
      <c r="G45" s="3" t="str">
        <f t="shared" si="3"/>
        <v>OR (s.0 &lt;&gt; t.0 OR ( t.0 Is Null AND s.0 Is Not Null) OR ( t.0 Is not Null AND s.0 Is  Null))</v>
      </c>
      <c r="H45" s="9" t="str">
        <f t="shared" si="9"/>
        <v>, t.0 = s.0</v>
      </c>
    </row>
    <row r="46" spans="2:8" x14ac:dyDescent="0.25">
      <c r="B46" s="9">
        <f>'Column Definition'!F52</f>
        <v>0</v>
      </c>
      <c r="C46" s="14" t="str">
        <f>_xlfn.SWITCH(Table4[[#This Row],[Column1]],"int", 0, "Smallint", 0, "tinyint", 0, "Bit", 0, "varchar", "'A'", "nvarchar", "'A'", "char", "'A'", "numeric", 0,"decimal", 0, "date", "'01/01/2000'", "datetime", "'01/01/2000'", "")</f>
        <v/>
      </c>
      <c r="D46" s="3">
        <f>'Column Definition'!C52</f>
        <v>0</v>
      </c>
      <c r="E46" s="9" t="str">
        <f t="shared" si="7"/>
        <v>, 0</v>
      </c>
      <c r="F46" s="9" t="str">
        <f t="shared" si="8"/>
        <v>, s.0</v>
      </c>
      <c r="G46" s="3" t="str">
        <f t="shared" si="3"/>
        <v>OR (s.0 &lt;&gt; t.0 OR ( t.0 Is Null AND s.0 Is Not Null) OR ( t.0 Is not Null AND s.0 Is  Null))</v>
      </c>
      <c r="H46" s="9" t="str">
        <f t="shared" si="9"/>
        <v>, t.0 = s.0</v>
      </c>
    </row>
    <row r="47" spans="2:8" x14ac:dyDescent="0.25">
      <c r="B47" s="9">
        <f>'Column Definition'!F53</f>
        <v>0</v>
      </c>
      <c r="C47" s="14" t="str">
        <f>_xlfn.SWITCH(Table4[[#This Row],[Column1]],"int", 0, "Smallint", 0, "tinyint", 0, "Bit", 0, "varchar", "'A'", "nvarchar", "'A'", "char", "'A'", "numeric", 0,"decimal", 0, "date", "'01/01/2000'", "datetime", "'01/01/2000'", "")</f>
        <v/>
      </c>
      <c r="D47" s="3">
        <f>'Column Definition'!C53</f>
        <v>0</v>
      </c>
      <c r="E47" s="9" t="str">
        <f t="shared" si="7"/>
        <v>, 0</v>
      </c>
      <c r="F47" s="9" t="str">
        <f t="shared" si="8"/>
        <v>, s.0</v>
      </c>
      <c r="G47" s="3" t="str">
        <f t="shared" si="3"/>
        <v>OR (s.0 &lt;&gt; t.0 OR ( t.0 Is Null AND s.0 Is Not Null) OR ( t.0 Is not Null AND s.0 Is  Null))</v>
      </c>
      <c r="H47" s="9" t="str">
        <f t="shared" si="9"/>
        <v>, t.0 = s.0</v>
      </c>
    </row>
    <row r="48" spans="2:8" x14ac:dyDescent="0.25">
      <c r="B48" s="9">
        <f>'Column Definition'!F54</f>
        <v>0</v>
      </c>
      <c r="C48" s="14" t="str">
        <f>_xlfn.SWITCH(Table4[[#This Row],[Column1]],"int", 0, "Smallint", 0, "tinyint", 0, "Bit", 0, "varchar", "'A'", "nvarchar", "'A'", "char", "'A'", "numeric", 0,"decimal", 0, "date", "'01/01/2000'", "datetime", "'01/01/2000'", "")</f>
        <v/>
      </c>
      <c r="D48" s="3">
        <f>'Column Definition'!C54</f>
        <v>0</v>
      </c>
      <c r="E48" s="9" t="str">
        <f t="shared" si="7"/>
        <v>, 0</v>
      </c>
      <c r="F48" s="9" t="str">
        <f t="shared" si="8"/>
        <v>, s.0</v>
      </c>
      <c r="G48" s="3" t="str">
        <f t="shared" si="3"/>
        <v>OR (s.0 &lt;&gt; t.0 OR ( t.0 Is Null AND s.0 Is Not Null) OR ( t.0 Is not Null AND s.0 Is  Null))</v>
      </c>
      <c r="H48" s="9" t="str">
        <f t="shared" si="9"/>
        <v>, t.0 = s.0</v>
      </c>
    </row>
    <row r="49" spans="2:8" x14ac:dyDescent="0.25">
      <c r="B49" s="9">
        <f>'Column Definition'!F55</f>
        <v>0</v>
      </c>
      <c r="C49" s="14" t="str">
        <f>_xlfn.SWITCH(Table4[[#This Row],[Column1]],"int", 0, "Smallint", 0, "tinyint", 0, "Bit", 0, "varchar", "'A'", "nvarchar", "'A'", "char", "'A'", "numeric", 0,"decimal", 0, "date", "'01/01/2000'", "datetime", "'01/01/2000'", "")</f>
        <v/>
      </c>
      <c r="D49" s="3">
        <f>'Column Definition'!C55</f>
        <v>0</v>
      </c>
      <c r="E49" s="9" t="str">
        <f t="shared" si="7"/>
        <v>, 0</v>
      </c>
      <c r="F49" s="9" t="str">
        <f t="shared" si="8"/>
        <v>, s.0</v>
      </c>
      <c r="G49" s="3" t="str">
        <f t="shared" si="3"/>
        <v>OR (s.0 &lt;&gt; t.0 OR ( t.0 Is Null AND s.0 Is Not Null) OR ( t.0 Is not Null AND s.0 Is  Null))</v>
      </c>
      <c r="H49" s="9" t="str">
        <f t="shared" si="9"/>
        <v>, t.0 = s.0</v>
      </c>
    </row>
    <row r="50" spans="2:8" x14ac:dyDescent="0.25">
      <c r="B50" s="9">
        <f>'Column Definition'!F56</f>
        <v>0</v>
      </c>
      <c r="C50" s="14" t="str">
        <f>_xlfn.SWITCH(Table4[[#This Row],[Column1]],"int", 0, "Smallint", 0, "tinyint", 0, "Bit", 0, "varchar", "'A'", "nvarchar", "'A'", "char", "'A'", "numeric", 0,"decimal", 0, "date", "'01/01/2000'", "datetime", "'01/01/2000'", "")</f>
        <v/>
      </c>
      <c r="D50" s="3">
        <f>'Column Definition'!C56</f>
        <v>0</v>
      </c>
      <c r="E50" s="9" t="str">
        <f t="shared" si="7"/>
        <v>, 0</v>
      </c>
      <c r="F50" s="9" t="str">
        <f t="shared" si="8"/>
        <v>, s.0</v>
      </c>
      <c r="G50" s="3" t="str">
        <f t="shared" si="3"/>
        <v>OR (s.0 &lt;&gt; t.0 OR ( t.0 Is Null AND s.0 Is Not Null) OR ( t.0 Is not Null AND s.0 Is  Null))</v>
      </c>
      <c r="H50" s="9" t="str">
        <f t="shared" si="9"/>
        <v>, t.0 = s.0</v>
      </c>
    </row>
    <row r="51" spans="2:8" x14ac:dyDescent="0.25">
      <c r="B51" s="9">
        <f>'Column Definition'!F57</f>
        <v>0</v>
      </c>
      <c r="C51" s="14" t="str">
        <f>_xlfn.SWITCH(Table4[[#This Row],[Column1]],"int", 0, "Smallint", 0, "tinyint", 0, "Bit", 0, "varchar", "'A'", "nvarchar", "'A'", "char", "'A'", "numeric", 0,"decimal", 0, "date", "'01/01/2000'", "datetime", "'01/01/2000'", "")</f>
        <v/>
      </c>
      <c r="D51" s="3">
        <f>'Column Definition'!C57</f>
        <v>0</v>
      </c>
      <c r="E51" s="9" t="str">
        <f t="shared" si="7"/>
        <v>, 0</v>
      </c>
      <c r="F51" s="9" t="str">
        <f t="shared" si="8"/>
        <v>, s.0</v>
      </c>
      <c r="G51" s="3" t="str">
        <f t="shared" si="3"/>
        <v>OR (s.0 &lt;&gt; t.0 OR ( t.0 Is Null AND s.0 Is Not Null) OR ( t.0 Is not Null AND s.0 Is  Null))</v>
      </c>
      <c r="H51" s="9" t="str">
        <f t="shared" si="9"/>
        <v>, t.0 = s.0</v>
      </c>
    </row>
    <row r="52" spans="2:8" x14ac:dyDescent="0.25">
      <c r="B52" s="9">
        <f>'Column Definition'!F58</f>
        <v>0</v>
      </c>
      <c r="C52" s="14" t="str">
        <f>_xlfn.SWITCH(Table4[[#This Row],[Column1]],"int", 0, "Smallint", 0, "tinyint", 0, "Bit", 0, "varchar", "'A'", "nvarchar", "'A'", "char", "'A'", "numeric", 0,"decimal", 0, "date", "'01/01/2000'", "datetime", "'01/01/2000'", "")</f>
        <v/>
      </c>
      <c r="D52" s="3">
        <f>'Column Definition'!C58</f>
        <v>0</v>
      </c>
      <c r="E52" s="9" t="str">
        <f t="shared" si="7"/>
        <v>, 0</v>
      </c>
      <c r="F52" s="9" t="str">
        <f t="shared" si="8"/>
        <v>, s.0</v>
      </c>
      <c r="G52" s="3" t="str">
        <f t="shared" si="3"/>
        <v>OR (s.0 &lt;&gt; t.0 OR ( t.0 Is Null AND s.0 Is Not Null) OR ( t.0 Is not Null AND s.0 Is  Null))</v>
      </c>
      <c r="H52" s="9" t="str">
        <f t="shared" si="9"/>
        <v>, t.0 = s.0</v>
      </c>
    </row>
    <row r="53" spans="2:8" x14ac:dyDescent="0.25">
      <c r="B53" s="9">
        <f>'Column Definition'!F59</f>
        <v>0</v>
      </c>
      <c r="C53" s="14" t="str">
        <f>_xlfn.SWITCH(Table4[[#This Row],[Column1]],"int", 0, "Smallint", 0, "tinyint", 0, "Bit", 0, "varchar", "'A'", "nvarchar", "'A'", "char", "'A'", "numeric", 0,"decimal", 0, "date", "'01/01/2000'", "datetime", "'01/01/2000'", "")</f>
        <v/>
      </c>
      <c r="D53" s="3">
        <f>'Column Definition'!C59</f>
        <v>0</v>
      </c>
      <c r="E53" s="9" t="str">
        <f t="shared" si="7"/>
        <v>, 0</v>
      </c>
      <c r="F53" s="9" t="str">
        <f t="shared" si="8"/>
        <v>, s.0</v>
      </c>
      <c r="G53" s="3" t="str">
        <f t="shared" si="3"/>
        <v>OR (s.0 &lt;&gt; t.0 OR ( t.0 Is Null AND s.0 Is Not Null) OR ( t.0 Is not Null AND s.0 Is  Null))</v>
      </c>
      <c r="H53" s="9" t="str">
        <f t="shared" si="9"/>
        <v>, t.0 = s.0</v>
      </c>
    </row>
    <row r="54" spans="2:8" x14ac:dyDescent="0.25">
      <c r="B54" s="9">
        <f>'Column Definition'!F60</f>
        <v>0</v>
      </c>
      <c r="C54" s="14" t="str">
        <f>_xlfn.SWITCH(Table4[[#This Row],[Column1]],"int", 0, "Smallint", 0, "tinyint", 0, "Bit", 0, "varchar", "'A'", "nvarchar", "'A'", "char", "'A'", "numeric", 0,"decimal", 0, "date", "'01/01/2000'", "datetime", "'01/01/2000'", "")</f>
        <v/>
      </c>
      <c r="D54" s="3">
        <f>'Column Definition'!C60</f>
        <v>0</v>
      </c>
      <c r="E54" s="9" t="str">
        <f t="shared" si="7"/>
        <v>, 0</v>
      </c>
      <c r="F54" s="9" t="str">
        <f t="shared" si="8"/>
        <v>, s.0</v>
      </c>
      <c r="G54" s="3" t="str">
        <f t="shared" si="3"/>
        <v>OR (s.0 &lt;&gt; t.0 OR ( t.0 Is Null AND s.0 Is Not Null) OR ( t.0 Is not Null AND s.0 Is  Null))</v>
      </c>
      <c r="H54" s="9" t="str">
        <f t="shared" si="9"/>
        <v>, t.0 = s.0</v>
      </c>
    </row>
    <row r="55" spans="2:8" x14ac:dyDescent="0.25">
      <c r="B55" s="9">
        <f>'Column Definition'!F61</f>
        <v>0</v>
      </c>
      <c r="C55" s="14" t="str">
        <f>_xlfn.SWITCH(Table4[[#This Row],[Column1]],"int", 0, "Smallint", 0, "tinyint", 0, "Bit", 0, "varchar", "'A'", "nvarchar", "'A'", "char", "'A'", "numeric", 0,"decimal", 0, "date", "'01/01/2000'", "datetime", "'01/01/2000'", "")</f>
        <v/>
      </c>
      <c r="D55" s="3">
        <f>'Column Definition'!C61</f>
        <v>0</v>
      </c>
      <c r="E55" s="9" t="str">
        <f t="shared" si="7"/>
        <v>, 0</v>
      </c>
      <c r="F55" s="9" t="str">
        <f t="shared" si="8"/>
        <v>, s.0</v>
      </c>
      <c r="G55" s="3" t="str">
        <f t="shared" si="3"/>
        <v>OR (s.0 &lt;&gt; t.0 OR ( t.0 Is Null AND s.0 Is Not Null) OR ( t.0 Is not Null AND s.0 Is  Null))</v>
      </c>
      <c r="H55" s="9" t="str">
        <f t="shared" si="9"/>
        <v>, t.0 = s.0</v>
      </c>
    </row>
    <row r="56" spans="2:8" x14ac:dyDescent="0.25">
      <c r="B56" s="9">
        <f>'Column Definition'!F62</f>
        <v>0</v>
      </c>
      <c r="C56" s="14" t="str">
        <f>_xlfn.SWITCH(Table4[[#This Row],[Column1]],"int", 0, "Smallint", 0, "tinyint", 0, "Bit", 0, "varchar", "'A'", "nvarchar", "'A'", "char", "'A'", "numeric", 0,"decimal", 0, "date", "'01/01/2000'", "datetime", "'01/01/2000'", "")</f>
        <v/>
      </c>
      <c r="D56" s="3">
        <f>'Column Definition'!C62</f>
        <v>0</v>
      </c>
      <c r="E56" s="9" t="str">
        <f t="shared" si="7"/>
        <v>, 0</v>
      </c>
      <c r="F56" s="9" t="str">
        <f t="shared" si="8"/>
        <v>, s.0</v>
      </c>
      <c r="G56" s="3" t="str">
        <f t="shared" si="3"/>
        <v>OR (s.0 &lt;&gt; t.0 OR ( t.0 Is Null AND s.0 Is Not Null) OR ( t.0 Is not Null AND s.0 Is  Null))</v>
      </c>
      <c r="H56" s="9" t="str">
        <f t="shared" si="9"/>
        <v>, t.0 = s.0</v>
      </c>
    </row>
    <row r="57" spans="2:8" x14ac:dyDescent="0.25">
      <c r="B57" s="9">
        <f>'Column Definition'!F63</f>
        <v>0</v>
      </c>
      <c r="C57" s="14" t="str">
        <f>_xlfn.SWITCH(Table4[[#This Row],[Column1]],"int", 0, "Smallint", 0, "tinyint", 0, "Bit", 0, "varchar", "'A'", "nvarchar", "'A'", "char", "'A'", "numeric", 0,"decimal", 0, "date", "'01/01/2000'", "datetime", "'01/01/2000'", "")</f>
        <v/>
      </c>
      <c r="D57" s="3">
        <f>'Column Definition'!C63</f>
        <v>0</v>
      </c>
      <c r="E57" s="9" t="str">
        <f t="shared" si="7"/>
        <v>, 0</v>
      </c>
      <c r="F57" s="9" t="str">
        <f t="shared" si="8"/>
        <v>, s.0</v>
      </c>
      <c r="G57" s="3" t="str">
        <f t="shared" si="3"/>
        <v>OR (s.0 &lt;&gt; t.0 OR ( t.0 Is Null AND s.0 Is Not Null) OR ( t.0 Is not Null AND s.0 Is  Null))</v>
      </c>
      <c r="H57" s="9" t="str">
        <f t="shared" si="9"/>
        <v>, t.0 = s.0</v>
      </c>
    </row>
    <row r="58" spans="2:8" x14ac:dyDescent="0.25">
      <c r="B58" s="9">
        <f>'Column Definition'!F64</f>
        <v>0</v>
      </c>
      <c r="C58" s="14" t="str">
        <f>_xlfn.SWITCH(Table4[[#This Row],[Column1]],"int", 0, "Smallint", 0, "tinyint", 0, "Bit", 0, "varchar", "'A'", "nvarchar", "'A'", "char", "'A'", "numeric", 0,"decimal", 0, "date", "'01/01/2000'", "datetime", "'01/01/2000'", "")</f>
        <v/>
      </c>
      <c r="D58" s="3">
        <f>'Column Definition'!C64</f>
        <v>0</v>
      </c>
      <c r="E58" s="9" t="str">
        <f t="shared" si="7"/>
        <v>, 0</v>
      </c>
      <c r="F58" s="9" t="str">
        <f t="shared" si="8"/>
        <v>, s.0</v>
      </c>
      <c r="G58" s="3" t="str">
        <f t="shared" si="3"/>
        <v>OR (s.0 &lt;&gt; t.0 OR ( t.0 Is Null AND s.0 Is Not Null) OR ( t.0 Is not Null AND s.0 Is  Null))</v>
      </c>
      <c r="H58" s="9" t="str">
        <f t="shared" si="9"/>
        <v>, t.0 = s.0</v>
      </c>
    </row>
    <row r="59" spans="2:8" x14ac:dyDescent="0.25">
      <c r="B59" s="9">
        <f>'Column Definition'!F65</f>
        <v>0</v>
      </c>
      <c r="C59" s="14" t="str">
        <f>_xlfn.SWITCH(Table4[[#This Row],[Column1]],"int", 0, "Smallint", 0, "tinyint", 0, "Bit", 0, "varchar", "'A'", "nvarchar", "'A'", "char", "'A'", "numeric", 0,"decimal", 0, "date", "'01/01/2000'", "datetime", "'01/01/2000'", "")</f>
        <v/>
      </c>
      <c r="D59" s="3">
        <f>'Column Definition'!C65</f>
        <v>0</v>
      </c>
      <c r="E59" s="9" t="str">
        <f t="shared" si="7"/>
        <v>, 0</v>
      </c>
      <c r="F59" s="9" t="str">
        <f t="shared" si="8"/>
        <v>, s.0</v>
      </c>
      <c r="G59" s="3" t="str">
        <f t="shared" si="3"/>
        <v>OR (s.0 &lt;&gt; t.0 OR ( t.0 Is Null AND s.0 Is Not Null) OR ( t.0 Is not Null AND s.0 Is  Null))</v>
      </c>
      <c r="H59" s="9" t="str">
        <f t="shared" si="9"/>
        <v>, t.0 = s.0</v>
      </c>
    </row>
    <row r="60" spans="2:8" x14ac:dyDescent="0.25">
      <c r="B60" s="9">
        <f>'Column Definition'!F66</f>
        <v>0</v>
      </c>
      <c r="C60" s="14" t="str">
        <f>_xlfn.SWITCH(Table4[[#This Row],[Column1]],"int", 0, "Smallint", 0, "tinyint", 0, "Bit", 0, "varchar", "'A'", "nvarchar", "'A'", "char", "'A'", "numeric", 0,"decimal", 0, "date", "'01/01/2000'", "datetime", "'01/01/2000'", "")</f>
        <v/>
      </c>
      <c r="D60" s="3">
        <f>'Column Definition'!C66</f>
        <v>0</v>
      </c>
      <c r="E60" s="9" t="str">
        <f t="shared" si="7"/>
        <v>, 0</v>
      </c>
      <c r="F60" s="9" t="str">
        <f t="shared" si="8"/>
        <v>, s.0</v>
      </c>
      <c r="G60" s="3" t="str">
        <f t="shared" si="3"/>
        <v>OR (s.0 &lt;&gt; t.0 OR ( t.0 Is Null AND s.0 Is Not Null) OR ( t.0 Is not Null AND s.0 Is  Null))</v>
      </c>
      <c r="H60" s="9" t="str">
        <f t="shared" si="9"/>
        <v>, t.0 = s.0</v>
      </c>
    </row>
    <row r="61" spans="2:8" x14ac:dyDescent="0.25">
      <c r="B61" s="9">
        <f>'Column Definition'!F67</f>
        <v>0</v>
      </c>
      <c r="C61" s="14" t="str">
        <f>_xlfn.SWITCH(Table4[[#This Row],[Column1]],"int", 0, "Smallint", 0, "tinyint", 0, "Bit", 0, "varchar", "'A'", "nvarchar", "'A'", "char", "'A'", "numeric", 0,"decimal", 0, "date", "'01/01/2000'", "datetime", "'01/01/2000'", "")</f>
        <v/>
      </c>
      <c r="D61" s="3">
        <f>'Column Definition'!C67</f>
        <v>0</v>
      </c>
      <c r="E61" s="9" t="str">
        <f t="shared" si="7"/>
        <v>, 0</v>
      </c>
      <c r="F61" s="9" t="str">
        <f t="shared" si="8"/>
        <v>, s.0</v>
      </c>
      <c r="G61" s="3" t="str">
        <f t="shared" si="3"/>
        <v>OR (s.0 &lt;&gt; t.0 OR ( t.0 Is Null AND s.0 Is Not Null) OR ( t.0 Is not Null AND s.0 Is  Null))</v>
      </c>
      <c r="H61" s="9" t="str">
        <f t="shared" si="9"/>
        <v>, t.0 = s.0</v>
      </c>
    </row>
    <row r="62" spans="2:8" x14ac:dyDescent="0.25">
      <c r="B62" s="9">
        <f>'Column Definition'!F68</f>
        <v>0</v>
      </c>
      <c r="C62" s="14" t="str">
        <f>_xlfn.SWITCH(Table4[[#This Row],[Column1]],"int", 0, "Smallint", 0, "tinyint", 0, "Bit", 0, "varchar", "'A'", "nvarchar", "'A'", "char", "'A'", "numeric", 0,"decimal", 0, "date", "'01/01/2000'", "datetime", "'01/01/2000'", "")</f>
        <v/>
      </c>
      <c r="D62" s="3">
        <f>'Column Definition'!C68</f>
        <v>0</v>
      </c>
      <c r="E62" s="9" t="str">
        <f t="shared" si="7"/>
        <v>, 0</v>
      </c>
      <c r="F62" s="9" t="str">
        <f t="shared" si="8"/>
        <v>, s.0</v>
      </c>
      <c r="G62" s="3" t="str">
        <f t="shared" si="3"/>
        <v>OR (s.0 &lt;&gt; t.0 OR ( t.0 Is Null AND s.0 Is Not Null) OR ( t.0 Is not Null AND s.0 Is  Null))</v>
      </c>
      <c r="H62" s="9" t="str">
        <f t="shared" si="9"/>
        <v>, t.0 = s.0</v>
      </c>
    </row>
    <row r="63" spans="2:8" x14ac:dyDescent="0.25">
      <c r="B63" s="9">
        <f>'Column Definition'!F69</f>
        <v>0</v>
      </c>
      <c r="C63" s="14" t="str">
        <f>_xlfn.SWITCH(Table4[[#This Row],[Column1]],"int", 0, "Smallint", 0, "tinyint", 0, "Bit", 0, "varchar", "'A'", "nvarchar", "'A'", "char", "'A'", "numeric", 0,"decimal", 0, "date", "'01/01/2000'", "datetime", "'01/01/2000'", "")</f>
        <v/>
      </c>
      <c r="D63" s="3">
        <f>'Column Definition'!C69</f>
        <v>0</v>
      </c>
      <c r="E63" s="9" t="str">
        <f t="shared" si="7"/>
        <v>, 0</v>
      </c>
      <c r="F63" s="9" t="str">
        <f t="shared" si="8"/>
        <v>, s.0</v>
      </c>
      <c r="G63" s="3" t="str">
        <f t="shared" si="3"/>
        <v>OR (s.0 &lt;&gt; t.0 OR ( t.0 Is Null AND s.0 Is Not Null) OR ( t.0 Is not Null AND s.0 Is  Null))</v>
      </c>
      <c r="H63" s="9" t="str">
        <f t="shared" si="9"/>
        <v>, t.0 = s.0</v>
      </c>
    </row>
    <row r="64" spans="2:8" x14ac:dyDescent="0.25">
      <c r="B64" s="9">
        <f>'Column Definition'!F70</f>
        <v>0</v>
      </c>
      <c r="C64" s="14" t="str">
        <f>_xlfn.SWITCH(Table4[[#This Row],[Column1]],"int", 0, "Smallint", 0, "tinyint", 0, "Bit", 0, "varchar", "'A'", "nvarchar", "'A'", "char", "'A'", "numeric", 0,"decimal", 0, "date", "'01/01/2000'", "datetime", "'01/01/2000'", "")</f>
        <v/>
      </c>
      <c r="D64" s="3">
        <f>'Column Definition'!C70</f>
        <v>0</v>
      </c>
      <c r="E64" s="9" t="str">
        <f t="shared" si="7"/>
        <v>, 0</v>
      </c>
      <c r="F64" s="9" t="str">
        <f t="shared" si="8"/>
        <v>, s.0</v>
      </c>
      <c r="G64" s="3" t="str">
        <f t="shared" si="3"/>
        <v>OR (s.0 &lt;&gt; t.0 OR ( t.0 Is Null AND s.0 Is Not Null) OR ( t.0 Is not Null AND s.0 Is  Null))</v>
      </c>
      <c r="H64" s="9" t="str">
        <f t="shared" si="9"/>
        <v>, t.0 = s.0</v>
      </c>
    </row>
    <row r="65" spans="2:8" x14ac:dyDescent="0.25">
      <c r="B65" s="9">
        <f>'Column Definition'!F71</f>
        <v>0</v>
      </c>
      <c r="C65" s="14" t="str">
        <f>_xlfn.SWITCH(Table4[[#This Row],[Column1]],"int", 0, "Smallint", 0, "tinyint", 0, "Bit", 0, "varchar", "'A'", "nvarchar", "'A'", "char", "'A'", "numeric", 0,"decimal", 0, "date", "'01/01/2000'", "datetime", "'01/01/2000'", "")</f>
        <v/>
      </c>
      <c r="D65" s="3">
        <f>'Column Definition'!C71</f>
        <v>0</v>
      </c>
      <c r="E65" s="9" t="str">
        <f t="shared" si="7"/>
        <v>, 0</v>
      </c>
      <c r="F65" s="9" t="str">
        <f t="shared" si="8"/>
        <v>, s.0</v>
      </c>
      <c r="G65" s="3" t="str">
        <f t="shared" si="3"/>
        <v>OR (s.0 &lt;&gt; t.0 OR ( t.0 Is Null AND s.0 Is Not Null) OR ( t.0 Is not Null AND s.0 Is  Null))</v>
      </c>
      <c r="H65" s="9" t="str">
        <f t="shared" si="9"/>
        <v>, t.0 = s.0</v>
      </c>
    </row>
    <row r="66" spans="2:8" x14ac:dyDescent="0.25">
      <c r="B66" s="9">
        <f>'Column Definition'!F72</f>
        <v>0</v>
      </c>
      <c r="C66" s="14" t="str">
        <f>_xlfn.SWITCH(Table4[[#This Row],[Column1]],"int", 0, "Smallint", 0, "tinyint", 0, "Bit", 0, "varchar", "'A'", "nvarchar", "'A'", "char", "'A'", "numeric", 0,"decimal", 0, "date", "'01/01/2000'", "datetime", "'01/01/2000'", "")</f>
        <v/>
      </c>
      <c r="D66" s="3">
        <f>'Column Definition'!C72</f>
        <v>0</v>
      </c>
      <c r="E66" s="9" t="str">
        <f t="shared" si="7"/>
        <v>, 0</v>
      </c>
      <c r="F66" s="9" t="str">
        <f t="shared" si="8"/>
        <v>, s.0</v>
      </c>
      <c r="G66" s="3" t="str">
        <f t="shared" si="3"/>
        <v>OR (s.0 &lt;&gt; t.0 OR ( t.0 Is Null AND s.0 Is Not Null) OR ( t.0 Is not Null AND s.0 Is  Null))</v>
      </c>
      <c r="H66" s="9" t="str">
        <f t="shared" si="9"/>
        <v>, t.0 = s.0</v>
      </c>
    </row>
    <row r="67" spans="2:8" x14ac:dyDescent="0.25">
      <c r="B67" s="9">
        <f>'Column Definition'!F73</f>
        <v>0</v>
      </c>
      <c r="C67" s="14" t="str">
        <f>_xlfn.SWITCH(Table4[[#This Row],[Column1]],"int", 0, "Smallint", 0, "tinyint", 0, "Bit", 0, "varchar", "'A'", "nvarchar", "'A'", "char", "'A'", "numeric", 0,"decimal", 0, "date", "'01/01/2000'", "datetime", "'01/01/2000'", "")</f>
        <v/>
      </c>
      <c r="D67" s="3">
        <f>'Column Definition'!C73</f>
        <v>0</v>
      </c>
      <c r="E67" s="9" t="str">
        <f t="shared" si="7"/>
        <v>, 0</v>
      </c>
      <c r="F67" s="9" t="str">
        <f t="shared" si="8"/>
        <v>, s.0</v>
      </c>
      <c r="G67" s="3" t="str">
        <f t="shared" si="3"/>
        <v>OR (s.0 &lt;&gt; t.0 OR ( t.0 Is Null AND s.0 Is Not Null) OR ( t.0 Is not Null AND s.0 Is  Null))</v>
      </c>
      <c r="H67" s="9" t="str">
        <f t="shared" si="9"/>
        <v>, t.0 = s.0</v>
      </c>
    </row>
    <row r="68" spans="2:8" x14ac:dyDescent="0.25">
      <c r="B68" s="9">
        <f>'Column Definition'!F74</f>
        <v>0</v>
      </c>
      <c r="C68" s="14" t="str">
        <f>_xlfn.SWITCH(Table4[[#This Row],[Column1]],"int", 0, "Smallint", 0, "tinyint", 0, "Bit", 0, "varchar", "'A'", "nvarchar", "'A'", "char", "'A'", "numeric", 0,"decimal", 0, "date", "'01/01/2000'", "datetime", "'01/01/2000'", "")</f>
        <v/>
      </c>
      <c r="D68" s="3">
        <f>'Column Definition'!C74</f>
        <v>0</v>
      </c>
      <c r="E68" s="9" t="str">
        <f t="shared" si="7"/>
        <v>, 0</v>
      </c>
      <c r="F68" s="9" t="str">
        <f t="shared" si="8"/>
        <v>, s.0</v>
      </c>
      <c r="G68" s="3" t="str">
        <f t="shared" ref="G68:G131" si="10">"OR (s."&amp;D68&amp;" &lt;&gt; t." &amp; D68 &amp; " OR ( t." &amp; D68  &amp; " Is Null AND s." &amp;D68 &amp; " Is Not Null) OR ( t." &amp; D68  &amp; " Is not Null AND s." &amp;D68 &amp; " Is  Null))"</f>
        <v>OR (s.0 &lt;&gt; t.0 OR ( t.0 Is Null AND s.0 Is Not Null) OR ( t.0 Is not Null AND s.0 Is  Null))</v>
      </c>
      <c r="H68" s="9" t="str">
        <f t="shared" si="9"/>
        <v>, t.0 = s.0</v>
      </c>
    </row>
    <row r="69" spans="2:8" x14ac:dyDescent="0.25">
      <c r="B69" s="9">
        <f>'Column Definition'!F75</f>
        <v>0</v>
      </c>
      <c r="C69" s="14" t="str">
        <f>_xlfn.SWITCH(Table4[[#This Row],[Column1]],"int", 0, "Smallint", 0, "tinyint", 0, "Bit", 0, "varchar", "'A'", "nvarchar", "'A'", "char", "'A'", "numeric", 0,"decimal", 0, "date", "'01/01/2000'", "datetime", "'01/01/2000'", "")</f>
        <v/>
      </c>
      <c r="D69" s="3">
        <f>'Column Definition'!C75</f>
        <v>0</v>
      </c>
      <c r="E69" s="9" t="str">
        <f t="shared" si="7"/>
        <v>, 0</v>
      </c>
      <c r="F69" s="9" t="str">
        <f t="shared" si="8"/>
        <v>, s.0</v>
      </c>
      <c r="G69" s="3" t="str">
        <f t="shared" si="10"/>
        <v>OR (s.0 &lt;&gt; t.0 OR ( t.0 Is Null AND s.0 Is Not Null) OR ( t.0 Is not Null AND s.0 Is  Null))</v>
      </c>
      <c r="H69" s="9" t="str">
        <f t="shared" si="9"/>
        <v>, t.0 = s.0</v>
      </c>
    </row>
    <row r="70" spans="2:8" x14ac:dyDescent="0.25">
      <c r="B70" s="9">
        <f>'Column Definition'!F76</f>
        <v>0</v>
      </c>
      <c r="C70" s="14" t="str">
        <f>_xlfn.SWITCH(Table4[[#This Row],[Column1]],"int", 0, "Smallint", 0, "tinyint", 0, "Bit", 0, "varchar", "'A'", "nvarchar", "'A'", "char", "'A'", "numeric", 0,"decimal", 0, "date", "'01/01/2000'", "datetime", "'01/01/2000'", "")</f>
        <v/>
      </c>
      <c r="D70" s="3">
        <f>'Column Definition'!C76</f>
        <v>0</v>
      </c>
      <c r="E70" s="9" t="str">
        <f t="shared" si="7"/>
        <v>, 0</v>
      </c>
      <c r="F70" s="9" t="str">
        <f t="shared" si="8"/>
        <v>, s.0</v>
      </c>
      <c r="G70" s="3" t="str">
        <f t="shared" si="10"/>
        <v>OR (s.0 &lt;&gt; t.0 OR ( t.0 Is Null AND s.0 Is Not Null) OR ( t.0 Is not Null AND s.0 Is  Null))</v>
      </c>
      <c r="H70" s="9" t="str">
        <f t="shared" si="9"/>
        <v>, t.0 = s.0</v>
      </c>
    </row>
    <row r="71" spans="2:8" x14ac:dyDescent="0.25">
      <c r="B71" s="9">
        <f>'Column Definition'!F77</f>
        <v>0</v>
      </c>
      <c r="C71" s="14" t="str">
        <f>_xlfn.SWITCH(Table4[[#This Row],[Column1]],"int", 0, "Smallint", 0, "tinyint", 0, "Bit", 0, "varchar", "'A'", "nvarchar", "'A'", "char", "'A'", "numeric", 0,"decimal", 0, "date", "'01/01/2000'", "datetime", "'01/01/2000'", "")</f>
        <v/>
      </c>
      <c r="D71" s="3">
        <f>'Column Definition'!C77</f>
        <v>0</v>
      </c>
      <c r="E71" s="9" t="str">
        <f t="shared" si="7"/>
        <v>, 0</v>
      </c>
      <c r="F71" s="9" t="str">
        <f t="shared" si="8"/>
        <v>, s.0</v>
      </c>
      <c r="G71" s="3" t="str">
        <f t="shared" si="10"/>
        <v>OR (s.0 &lt;&gt; t.0 OR ( t.0 Is Null AND s.0 Is Not Null) OR ( t.0 Is not Null AND s.0 Is  Null))</v>
      </c>
      <c r="H71" s="9" t="str">
        <f t="shared" si="9"/>
        <v>, t.0 = s.0</v>
      </c>
    </row>
    <row r="72" spans="2:8" x14ac:dyDescent="0.25">
      <c r="B72" s="9">
        <f>'Column Definition'!F78</f>
        <v>0</v>
      </c>
      <c r="C72" s="14" t="str">
        <f>_xlfn.SWITCH(Table4[[#This Row],[Column1]],"int", 0, "Smallint", 0, "tinyint", 0, "Bit", 0, "varchar", "'A'", "nvarchar", "'A'", "char", "'A'", "numeric", 0,"decimal", 0, "date", "'01/01/2000'", "datetime", "'01/01/2000'", "")</f>
        <v/>
      </c>
      <c r="D72" s="3">
        <f>'Column Definition'!C78</f>
        <v>0</v>
      </c>
      <c r="E72" s="9" t="str">
        <f t="shared" si="7"/>
        <v>, 0</v>
      </c>
      <c r="F72" s="9" t="str">
        <f t="shared" si="8"/>
        <v>, s.0</v>
      </c>
      <c r="G72" s="3" t="str">
        <f t="shared" si="10"/>
        <v>OR (s.0 &lt;&gt; t.0 OR ( t.0 Is Null AND s.0 Is Not Null) OR ( t.0 Is not Null AND s.0 Is  Null))</v>
      </c>
      <c r="H72" s="9" t="str">
        <f t="shared" si="9"/>
        <v>, t.0 = s.0</v>
      </c>
    </row>
    <row r="73" spans="2:8" x14ac:dyDescent="0.25">
      <c r="B73" s="9">
        <f>'Column Definition'!F79</f>
        <v>0</v>
      </c>
      <c r="C73" s="14" t="str">
        <f>_xlfn.SWITCH(Table4[[#This Row],[Column1]],"int", 0, "Smallint", 0, "tinyint", 0, "Bit", 0, "varchar", "'A'", "nvarchar", "'A'", "char", "'A'", "numeric", 0,"decimal", 0, "date", "'01/01/2000'", "datetime", "'01/01/2000'", "")</f>
        <v/>
      </c>
      <c r="D73" s="3">
        <f>'Column Definition'!C79</f>
        <v>0</v>
      </c>
      <c r="E73" s="9" t="str">
        <f t="shared" si="7"/>
        <v>, 0</v>
      </c>
      <c r="F73" s="9" t="str">
        <f t="shared" si="8"/>
        <v>, s.0</v>
      </c>
      <c r="G73" s="3" t="str">
        <f t="shared" si="10"/>
        <v>OR (s.0 &lt;&gt; t.0 OR ( t.0 Is Null AND s.0 Is Not Null) OR ( t.0 Is not Null AND s.0 Is  Null))</v>
      </c>
      <c r="H73" s="9" t="str">
        <f t="shared" si="9"/>
        <v>, t.0 = s.0</v>
      </c>
    </row>
    <row r="74" spans="2:8" x14ac:dyDescent="0.25">
      <c r="B74" s="9">
        <f>'Column Definition'!F80</f>
        <v>0</v>
      </c>
      <c r="C74" s="14" t="str">
        <f>_xlfn.SWITCH(Table4[[#This Row],[Column1]],"int", 0, "Smallint", 0, "tinyint", 0, "Bit", 0, "varchar", "'A'", "nvarchar", "'A'", "char", "'A'", "numeric", 0,"decimal", 0, "date", "'01/01/2000'", "datetime", "'01/01/2000'", "")</f>
        <v/>
      </c>
      <c r="D74" s="3">
        <f>'Column Definition'!C80</f>
        <v>0</v>
      </c>
      <c r="E74" s="9" t="str">
        <f t="shared" si="7"/>
        <v>, 0</v>
      </c>
      <c r="F74" s="9" t="str">
        <f t="shared" si="8"/>
        <v>, s.0</v>
      </c>
      <c r="G74" s="3" t="str">
        <f t="shared" si="10"/>
        <v>OR (s.0 &lt;&gt; t.0 OR ( t.0 Is Null AND s.0 Is Not Null) OR ( t.0 Is not Null AND s.0 Is  Null))</v>
      </c>
      <c r="H74" s="9" t="str">
        <f t="shared" si="9"/>
        <v>, t.0 = s.0</v>
      </c>
    </row>
    <row r="75" spans="2:8" x14ac:dyDescent="0.25">
      <c r="B75" s="9">
        <f>'Column Definition'!F81</f>
        <v>0</v>
      </c>
      <c r="C75" s="14" t="str">
        <f>_xlfn.SWITCH(Table4[[#This Row],[Column1]],"int", 0, "Smallint", 0, "tinyint", 0, "Bit", 0, "varchar", "'A'", "nvarchar", "'A'", "char", "'A'", "numeric", 0,"decimal", 0, "date", "'01/01/2000'", "datetime", "'01/01/2000'", "")</f>
        <v/>
      </c>
      <c r="D75" s="3">
        <f>'Column Definition'!C81</f>
        <v>0</v>
      </c>
      <c r="E75" s="9" t="str">
        <f t="shared" si="7"/>
        <v>, 0</v>
      </c>
      <c r="F75" s="9" t="str">
        <f t="shared" si="8"/>
        <v>, s.0</v>
      </c>
      <c r="G75" s="3" t="str">
        <f t="shared" si="10"/>
        <v>OR (s.0 &lt;&gt; t.0 OR ( t.0 Is Null AND s.0 Is Not Null) OR ( t.0 Is not Null AND s.0 Is  Null))</v>
      </c>
      <c r="H75" s="9" t="str">
        <f t="shared" si="9"/>
        <v>, t.0 = s.0</v>
      </c>
    </row>
    <row r="76" spans="2:8" x14ac:dyDescent="0.25">
      <c r="B76" s="9">
        <f>'Column Definition'!F82</f>
        <v>0</v>
      </c>
      <c r="C76" s="14" t="str">
        <f>_xlfn.SWITCH(Table4[[#This Row],[Column1]],"int", 0, "Smallint", 0, "tinyint", 0, "Bit", 0, "varchar", "'A'", "nvarchar", "'A'", "char", "'A'", "numeric", 0,"decimal", 0, "date", "'01/01/2000'", "datetime", "'01/01/2000'", "")</f>
        <v/>
      </c>
      <c r="D76" s="3">
        <f>'Column Definition'!C82</f>
        <v>0</v>
      </c>
      <c r="E76" s="9" t="str">
        <f t="shared" ref="E76:E107" si="11">", "&amp;D76</f>
        <v>, 0</v>
      </c>
      <c r="F76" s="9" t="str">
        <f t="shared" ref="F76:F107" si="12">", s."&amp;D76</f>
        <v>, s.0</v>
      </c>
      <c r="G76" s="3" t="str">
        <f t="shared" si="10"/>
        <v>OR (s.0 &lt;&gt; t.0 OR ( t.0 Is Null AND s.0 Is Not Null) OR ( t.0 Is not Null AND s.0 Is  Null))</v>
      </c>
      <c r="H76" s="9" t="str">
        <f t="shared" ref="H76:H107" si="13">", t."&amp; D76  &amp; " = s." &amp; D76</f>
        <v>, t.0 = s.0</v>
      </c>
    </row>
    <row r="77" spans="2:8" x14ac:dyDescent="0.25">
      <c r="B77" s="9">
        <f>'Column Definition'!F83</f>
        <v>0</v>
      </c>
      <c r="C77" s="14" t="str">
        <f>_xlfn.SWITCH(Table4[[#This Row],[Column1]],"int", 0, "Smallint", 0, "tinyint", 0, "Bit", 0, "varchar", "'A'", "nvarchar", "'A'", "char", "'A'", "numeric", 0,"decimal", 0, "date", "'01/01/2000'", "datetime", "'01/01/2000'", "")</f>
        <v/>
      </c>
      <c r="D77" s="3">
        <f>'Column Definition'!C83</f>
        <v>0</v>
      </c>
      <c r="E77" s="9" t="str">
        <f t="shared" si="11"/>
        <v>, 0</v>
      </c>
      <c r="F77" s="9" t="str">
        <f t="shared" si="12"/>
        <v>, s.0</v>
      </c>
      <c r="G77" s="3" t="str">
        <f t="shared" si="10"/>
        <v>OR (s.0 &lt;&gt; t.0 OR ( t.0 Is Null AND s.0 Is Not Null) OR ( t.0 Is not Null AND s.0 Is  Null))</v>
      </c>
      <c r="H77" s="9" t="str">
        <f t="shared" si="13"/>
        <v>, t.0 = s.0</v>
      </c>
    </row>
    <row r="78" spans="2:8" x14ac:dyDescent="0.25">
      <c r="B78" s="9">
        <f>'Column Definition'!F84</f>
        <v>0</v>
      </c>
      <c r="C78" s="14" t="str">
        <f>_xlfn.SWITCH(Table4[[#This Row],[Column1]],"int", 0, "Smallint", 0, "tinyint", 0, "Bit", 0, "varchar", "'A'", "nvarchar", "'A'", "char", "'A'", "numeric", 0,"decimal", 0, "date", "'01/01/2000'", "datetime", "'01/01/2000'", "")</f>
        <v/>
      </c>
      <c r="D78" s="3">
        <f>'Column Definition'!C84</f>
        <v>0</v>
      </c>
      <c r="E78" s="9" t="str">
        <f t="shared" si="11"/>
        <v>, 0</v>
      </c>
      <c r="F78" s="9" t="str">
        <f t="shared" si="12"/>
        <v>, s.0</v>
      </c>
      <c r="G78" s="3" t="str">
        <f t="shared" si="10"/>
        <v>OR (s.0 &lt;&gt; t.0 OR ( t.0 Is Null AND s.0 Is Not Null) OR ( t.0 Is not Null AND s.0 Is  Null))</v>
      </c>
      <c r="H78" s="9" t="str">
        <f t="shared" si="13"/>
        <v>, t.0 = s.0</v>
      </c>
    </row>
    <row r="79" spans="2:8" x14ac:dyDescent="0.25">
      <c r="B79" s="9">
        <f>'Column Definition'!F85</f>
        <v>0</v>
      </c>
      <c r="C79" s="14" t="str">
        <f>_xlfn.SWITCH(Table4[[#This Row],[Column1]],"int", 0, "Smallint", 0, "tinyint", 0, "Bit", 0, "varchar", "'A'", "nvarchar", "'A'", "char", "'A'", "numeric", 0,"decimal", 0, "date", "'01/01/2000'", "datetime", "'01/01/2000'", "")</f>
        <v/>
      </c>
      <c r="D79" s="3">
        <f>'Column Definition'!C85</f>
        <v>0</v>
      </c>
      <c r="E79" s="9" t="str">
        <f t="shared" si="11"/>
        <v>, 0</v>
      </c>
      <c r="F79" s="9" t="str">
        <f t="shared" si="12"/>
        <v>, s.0</v>
      </c>
      <c r="G79" s="3" t="str">
        <f t="shared" si="10"/>
        <v>OR (s.0 &lt;&gt; t.0 OR ( t.0 Is Null AND s.0 Is Not Null) OR ( t.0 Is not Null AND s.0 Is  Null))</v>
      </c>
      <c r="H79" s="9" t="str">
        <f t="shared" si="13"/>
        <v>, t.0 = s.0</v>
      </c>
    </row>
    <row r="80" spans="2:8" x14ac:dyDescent="0.25">
      <c r="B80" s="9">
        <f>'Column Definition'!F86</f>
        <v>0</v>
      </c>
      <c r="C80" s="14" t="str">
        <f>_xlfn.SWITCH(Table4[[#This Row],[Column1]],"int", 0, "Smallint", 0, "tinyint", 0, "Bit", 0, "varchar", "'A'", "nvarchar", "'A'", "char", "'A'", "numeric", 0,"decimal", 0, "date", "'01/01/2000'", "datetime", "'01/01/2000'", "")</f>
        <v/>
      </c>
      <c r="D80" s="3">
        <f>'Column Definition'!C86</f>
        <v>0</v>
      </c>
      <c r="E80" s="9" t="str">
        <f t="shared" si="11"/>
        <v>, 0</v>
      </c>
      <c r="F80" s="9" t="str">
        <f t="shared" si="12"/>
        <v>, s.0</v>
      </c>
      <c r="G80" s="3" t="str">
        <f t="shared" si="10"/>
        <v>OR (s.0 &lt;&gt; t.0 OR ( t.0 Is Null AND s.0 Is Not Null) OR ( t.0 Is not Null AND s.0 Is  Null))</v>
      </c>
      <c r="H80" s="9" t="str">
        <f t="shared" si="13"/>
        <v>, t.0 = s.0</v>
      </c>
    </row>
    <row r="81" spans="2:8" x14ac:dyDescent="0.25">
      <c r="B81" s="9">
        <f>'Column Definition'!F87</f>
        <v>0</v>
      </c>
      <c r="C81" s="14" t="str">
        <f>_xlfn.SWITCH(Table4[[#This Row],[Column1]],"int", 0, "Smallint", 0, "tinyint", 0, "Bit", 0, "varchar", "'A'", "nvarchar", "'A'", "char", "'A'", "numeric", 0,"decimal", 0, "date", "'01/01/2000'", "datetime", "'01/01/2000'", "")</f>
        <v/>
      </c>
      <c r="D81" s="3">
        <f>'Column Definition'!C87</f>
        <v>0</v>
      </c>
      <c r="E81" s="9" t="str">
        <f t="shared" si="11"/>
        <v>, 0</v>
      </c>
      <c r="F81" s="9" t="str">
        <f t="shared" si="12"/>
        <v>, s.0</v>
      </c>
      <c r="G81" s="3" t="str">
        <f t="shared" si="10"/>
        <v>OR (s.0 &lt;&gt; t.0 OR ( t.0 Is Null AND s.0 Is Not Null) OR ( t.0 Is not Null AND s.0 Is  Null))</v>
      </c>
      <c r="H81" s="9" t="str">
        <f t="shared" si="13"/>
        <v>, t.0 = s.0</v>
      </c>
    </row>
    <row r="82" spans="2:8" x14ac:dyDescent="0.25">
      <c r="B82" s="9">
        <f>'Column Definition'!F88</f>
        <v>0</v>
      </c>
      <c r="C82" s="14" t="str">
        <f>_xlfn.SWITCH(Table4[[#This Row],[Column1]],"int", 0, "Smallint", 0, "tinyint", 0, "Bit", 0, "varchar", "'A'", "nvarchar", "'A'", "char", "'A'", "numeric", 0,"decimal", 0, "date", "'01/01/2000'", "datetime", "'01/01/2000'", "")</f>
        <v/>
      </c>
      <c r="D82" s="3">
        <f>'Column Definition'!C88</f>
        <v>0</v>
      </c>
      <c r="E82" s="9" t="str">
        <f t="shared" si="11"/>
        <v>, 0</v>
      </c>
      <c r="F82" s="9" t="str">
        <f t="shared" si="12"/>
        <v>, s.0</v>
      </c>
      <c r="G82" s="3" t="str">
        <f t="shared" si="10"/>
        <v>OR (s.0 &lt;&gt; t.0 OR ( t.0 Is Null AND s.0 Is Not Null) OR ( t.0 Is not Null AND s.0 Is  Null))</v>
      </c>
      <c r="H82" s="9" t="str">
        <f t="shared" si="13"/>
        <v>, t.0 = s.0</v>
      </c>
    </row>
    <row r="83" spans="2:8" x14ac:dyDescent="0.25">
      <c r="B83" s="9">
        <f>'Column Definition'!F89</f>
        <v>0</v>
      </c>
      <c r="C83" s="14" t="str">
        <f>_xlfn.SWITCH(Table4[[#This Row],[Column1]],"int", 0, "Smallint", 0, "tinyint", 0, "Bit", 0, "varchar", "'A'", "nvarchar", "'A'", "char", "'A'", "numeric", 0,"decimal", 0, "date", "'01/01/2000'", "datetime", "'01/01/2000'", "")</f>
        <v/>
      </c>
      <c r="D83" s="3">
        <f>'Column Definition'!C89</f>
        <v>0</v>
      </c>
      <c r="E83" s="9" t="str">
        <f t="shared" si="11"/>
        <v>, 0</v>
      </c>
      <c r="F83" s="9" t="str">
        <f t="shared" si="12"/>
        <v>, s.0</v>
      </c>
      <c r="G83" s="3" t="str">
        <f t="shared" si="10"/>
        <v>OR (s.0 &lt;&gt; t.0 OR ( t.0 Is Null AND s.0 Is Not Null) OR ( t.0 Is not Null AND s.0 Is  Null))</v>
      </c>
      <c r="H83" s="9" t="str">
        <f t="shared" si="13"/>
        <v>, t.0 = s.0</v>
      </c>
    </row>
    <row r="84" spans="2:8" x14ac:dyDescent="0.25">
      <c r="B84" s="9">
        <f>'Column Definition'!F90</f>
        <v>0</v>
      </c>
      <c r="C84" s="14" t="str">
        <f>_xlfn.SWITCH(Table4[[#This Row],[Column1]],"int", 0, "Smallint", 0, "tinyint", 0, "Bit", 0, "varchar", "'A'", "nvarchar", "'A'", "char", "'A'", "numeric", 0,"decimal", 0, "date", "'01/01/2000'", "datetime", "'01/01/2000'", "")</f>
        <v/>
      </c>
      <c r="D84" s="3">
        <f>'Column Definition'!C90</f>
        <v>0</v>
      </c>
      <c r="E84" s="9" t="str">
        <f t="shared" si="11"/>
        <v>, 0</v>
      </c>
      <c r="F84" s="9" t="str">
        <f t="shared" si="12"/>
        <v>, s.0</v>
      </c>
      <c r="G84" s="3" t="str">
        <f t="shared" si="10"/>
        <v>OR (s.0 &lt;&gt; t.0 OR ( t.0 Is Null AND s.0 Is Not Null) OR ( t.0 Is not Null AND s.0 Is  Null))</v>
      </c>
      <c r="H84" s="9" t="str">
        <f t="shared" si="13"/>
        <v>, t.0 = s.0</v>
      </c>
    </row>
    <row r="85" spans="2:8" x14ac:dyDescent="0.25">
      <c r="B85" s="9">
        <f>'Column Definition'!F91</f>
        <v>0</v>
      </c>
      <c r="C85" s="14" t="str">
        <f>_xlfn.SWITCH(Table4[[#This Row],[Column1]],"int", 0, "Smallint", 0, "tinyint", 0, "Bit", 0, "varchar", "'A'", "nvarchar", "'A'", "char", "'A'", "numeric", 0,"decimal", 0, "date", "'01/01/2000'", "datetime", "'01/01/2000'", "")</f>
        <v/>
      </c>
      <c r="D85" s="3">
        <f>'Column Definition'!C91</f>
        <v>0</v>
      </c>
      <c r="E85" s="9" t="str">
        <f t="shared" si="11"/>
        <v>, 0</v>
      </c>
      <c r="F85" s="9" t="str">
        <f t="shared" si="12"/>
        <v>, s.0</v>
      </c>
      <c r="G85" s="3" t="str">
        <f t="shared" si="10"/>
        <v>OR (s.0 &lt;&gt; t.0 OR ( t.0 Is Null AND s.0 Is Not Null) OR ( t.0 Is not Null AND s.0 Is  Null))</v>
      </c>
      <c r="H85" s="9" t="str">
        <f t="shared" si="13"/>
        <v>, t.0 = s.0</v>
      </c>
    </row>
    <row r="86" spans="2:8" x14ac:dyDescent="0.25">
      <c r="B86" s="9">
        <f>'Column Definition'!F92</f>
        <v>0</v>
      </c>
      <c r="C86" s="14" t="str">
        <f>_xlfn.SWITCH(Table4[[#This Row],[Column1]],"int", 0, "Smallint", 0, "tinyint", 0, "Bit", 0, "varchar", "'A'", "nvarchar", "'A'", "char", "'A'", "numeric", 0,"decimal", 0, "date", "'01/01/2000'", "datetime", "'01/01/2000'", "")</f>
        <v/>
      </c>
      <c r="D86" s="3">
        <f>'Column Definition'!C92</f>
        <v>0</v>
      </c>
      <c r="E86" s="9" t="str">
        <f t="shared" si="11"/>
        <v>, 0</v>
      </c>
      <c r="F86" s="9" t="str">
        <f t="shared" si="12"/>
        <v>, s.0</v>
      </c>
      <c r="G86" s="3" t="str">
        <f t="shared" si="10"/>
        <v>OR (s.0 &lt;&gt; t.0 OR ( t.0 Is Null AND s.0 Is Not Null) OR ( t.0 Is not Null AND s.0 Is  Null))</v>
      </c>
      <c r="H86" s="9" t="str">
        <f t="shared" si="13"/>
        <v>, t.0 = s.0</v>
      </c>
    </row>
    <row r="87" spans="2:8" x14ac:dyDescent="0.25">
      <c r="B87" s="9">
        <f>'Column Definition'!F93</f>
        <v>0</v>
      </c>
      <c r="C87" s="14" t="str">
        <f>_xlfn.SWITCH(Table4[[#This Row],[Column1]],"int", 0, "Smallint", 0, "tinyint", 0, "Bit", 0, "varchar", "'A'", "nvarchar", "'A'", "char", "'A'", "numeric", 0,"decimal", 0, "date", "'01/01/2000'", "datetime", "'01/01/2000'", "")</f>
        <v/>
      </c>
      <c r="D87" s="3">
        <f>'Column Definition'!C93</f>
        <v>0</v>
      </c>
      <c r="E87" s="9" t="str">
        <f t="shared" si="11"/>
        <v>, 0</v>
      </c>
      <c r="F87" s="9" t="str">
        <f t="shared" si="12"/>
        <v>, s.0</v>
      </c>
      <c r="G87" s="3" t="str">
        <f t="shared" si="10"/>
        <v>OR (s.0 &lt;&gt; t.0 OR ( t.0 Is Null AND s.0 Is Not Null) OR ( t.0 Is not Null AND s.0 Is  Null))</v>
      </c>
      <c r="H87" s="9" t="str">
        <f t="shared" si="13"/>
        <v>, t.0 = s.0</v>
      </c>
    </row>
    <row r="88" spans="2:8" x14ac:dyDescent="0.25">
      <c r="B88" s="9">
        <f>'Column Definition'!F94</f>
        <v>0</v>
      </c>
      <c r="C88" s="14" t="str">
        <f>_xlfn.SWITCH(Table4[[#This Row],[Column1]],"int", 0, "Smallint", 0, "tinyint", 0, "Bit", 0, "varchar", "'A'", "nvarchar", "'A'", "char", "'A'", "numeric", 0,"decimal", 0, "date", "'01/01/2000'", "datetime", "'01/01/2000'", "")</f>
        <v/>
      </c>
      <c r="D88" s="3">
        <f>'Column Definition'!C94</f>
        <v>0</v>
      </c>
      <c r="E88" s="9" t="str">
        <f t="shared" si="11"/>
        <v>, 0</v>
      </c>
      <c r="F88" s="9" t="str">
        <f t="shared" si="12"/>
        <v>, s.0</v>
      </c>
      <c r="G88" s="3" t="str">
        <f t="shared" si="10"/>
        <v>OR (s.0 &lt;&gt; t.0 OR ( t.0 Is Null AND s.0 Is Not Null) OR ( t.0 Is not Null AND s.0 Is  Null))</v>
      </c>
      <c r="H88" s="9" t="str">
        <f t="shared" si="13"/>
        <v>, t.0 = s.0</v>
      </c>
    </row>
    <row r="89" spans="2:8" x14ac:dyDescent="0.25">
      <c r="B89" s="9">
        <f>'Column Definition'!F95</f>
        <v>0</v>
      </c>
      <c r="C89" s="14" t="str">
        <f>_xlfn.SWITCH(Table4[[#This Row],[Column1]],"int", 0, "Smallint", 0, "tinyint", 0, "Bit", 0, "varchar", "'A'", "nvarchar", "'A'", "char", "'A'", "numeric", 0,"decimal", 0, "date", "'01/01/2000'", "datetime", "'01/01/2000'", "")</f>
        <v/>
      </c>
      <c r="D89" s="3">
        <f>'Column Definition'!C95</f>
        <v>0</v>
      </c>
      <c r="E89" s="9" t="str">
        <f t="shared" si="11"/>
        <v>, 0</v>
      </c>
      <c r="F89" s="9" t="str">
        <f t="shared" si="12"/>
        <v>, s.0</v>
      </c>
      <c r="G89" s="3" t="str">
        <f t="shared" si="10"/>
        <v>OR (s.0 &lt;&gt; t.0 OR ( t.0 Is Null AND s.0 Is Not Null) OR ( t.0 Is not Null AND s.0 Is  Null))</v>
      </c>
      <c r="H89" s="9" t="str">
        <f t="shared" si="13"/>
        <v>, t.0 = s.0</v>
      </c>
    </row>
    <row r="90" spans="2:8" x14ac:dyDescent="0.25">
      <c r="B90" s="9">
        <f>'Column Definition'!F96</f>
        <v>0</v>
      </c>
      <c r="C90" s="14" t="str">
        <f>_xlfn.SWITCH(Table4[[#This Row],[Column1]],"int", 0, "Smallint", 0, "tinyint", 0, "Bit", 0, "varchar", "'A'", "nvarchar", "'A'", "char", "'A'", "numeric", 0,"decimal", 0, "date", "'01/01/2000'", "datetime", "'01/01/2000'", "")</f>
        <v/>
      </c>
      <c r="D90" s="3">
        <f>'Column Definition'!C96</f>
        <v>0</v>
      </c>
      <c r="E90" s="9" t="str">
        <f t="shared" si="11"/>
        <v>, 0</v>
      </c>
      <c r="F90" s="9" t="str">
        <f t="shared" si="12"/>
        <v>, s.0</v>
      </c>
      <c r="G90" s="3" t="str">
        <f t="shared" si="10"/>
        <v>OR (s.0 &lt;&gt; t.0 OR ( t.0 Is Null AND s.0 Is Not Null) OR ( t.0 Is not Null AND s.0 Is  Null))</v>
      </c>
      <c r="H90" s="9" t="str">
        <f t="shared" si="13"/>
        <v>, t.0 = s.0</v>
      </c>
    </row>
    <row r="91" spans="2:8" x14ac:dyDescent="0.25">
      <c r="B91" s="9">
        <f>'Column Definition'!F97</f>
        <v>0</v>
      </c>
      <c r="C91" s="14" t="str">
        <f>_xlfn.SWITCH(Table4[[#This Row],[Column1]],"int", 0, "Smallint", 0, "tinyint", 0, "Bit", 0, "varchar", "'A'", "nvarchar", "'A'", "char", "'A'", "numeric", 0,"decimal", 0, "date", "'01/01/2000'", "datetime", "'01/01/2000'", "")</f>
        <v/>
      </c>
      <c r="D91" s="3">
        <f>'Column Definition'!C97</f>
        <v>0</v>
      </c>
      <c r="E91" s="9" t="str">
        <f t="shared" si="11"/>
        <v>, 0</v>
      </c>
      <c r="F91" s="9" t="str">
        <f t="shared" si="12"/>
        <v>, s.0</v>
      </c>
      <c r="G91" s="3" t="str">
        <f t="shared" si="10"/>
        <v>OR (s.0 &lt;&gt; t.0 OR ( t.0 Is Null AND s.0 Is Not Null) OR ( t.0 Is not Null AND s.0 Is  Null))</v>
      </c>
      <c r="H91" s="9" t="str">
        <f t="shared" si="13"/>
        <v>, t.0 = s.0</v>
      </c>
    </row>
    <row r="92" spans="2:8" x14ac:dyDescent="0.25">
      <c r="B92" s="9">
        <f>'Column Definition'!F98</f>
        <v>0</v>
      </c>
      <c r="C92" s="14" t="str">
        <f>_xlfn.SWITCH(Table4[[#This Row],[Column1]],"int", 0, "Smallint", 0, "tinyint", 0, "Bit", 0, "varchar", "'A'", "nvarchar", "'A'", "char", "'A'", "numeric", 0,"decimal", 0, "date", "'01/01/2000'", "datetime", "'01/01/2000'", "")</f>
        <v/>
      </c>
      <c r="D92" s="3">
        <f>'Column Definition'!C98</f>
        <v>0</v>
      </c>
      <c r="E92" s="9" t="str">
        <f t="shared" si="11"/>
        <v>, 0</v>
      </c>
      <c r="F92" s="9" t="str">
        <f t="shared" si="12"/>
        <v>, s.0</v>
      </c>
      <c r="G92" s="3" t="str">
        <f t="shared" si="10"/>
        <v>OR (s.0 &lt;&gt; t.0 OR ( t.0 Is Null AND s.0 Is Not Null) OR ( t.0 Is not Null AND s.0 Is  Null))</v>
      </c>
      <c r="H92" s="9" t="str">
        <f t="shared" si="13"/>
        <v>, t.0 = s.0</v>
      </c>
    </row>
    <row r="93" spans="2:8" x14ac:dyDescent="0.25">
      <c r="B93" s="9">
        <f>'Column Definition'!F99</f>
        <v>0</v>
      </c>
      <c r="C93" s="14" t="str">
        <f>_xlfn.SWITCH(Table4[[#This Row],[Column1]],"int", 0, "Smallint", 0, "tinyint", 0, "Bit", 0, "varchar", "'A'", "nvarchar", "'A'", "char", "'A'", "numeric", 0,"decimal", 0, "date", "'01/01/2000'", "datetime", "'01/01/2000'", "")</f>
        <v/>
      </c>
      <c r="D93" s="3">
        <f>'Column Definition'!C99</f>
        <v>0</v>
      </c>
      <c r="E93" s="9" t="str">
        <f t="shared" si="11"/>
        <v>, 0</v>
      </c>
      <c r="F93" s="9" t="str">
        <f t="shared" si="12"/>
        <v>, s.0</v>
      </c>
      <c r="G93" s="3" t="str">
        <f t="shared" si="10"/>
        <v>OR (s.0 &lt;&gt; t.0 OR ( t.0 Is Null AND s.0 Is Not Null) OR ( t.0 Is not Null AND s.0 Is  Null))</v>
      </c>
      <c r="H93" s="9" t="str">
        <f t="shared" si="13"/>
        <v>, t.0 = s.0</v>
      </c>
    </row>
    <row r="94" spans="2:8" x14ac:dyDescent="0.25">
      <c r="B94" s="9">
        <f>'Column Definition'!F100</f>
        <v>0</v>
      </c>
      <c r="C94" s="14" t="str">
        <f>_xlfn.SWITCH(Table4[[#This Row],[Column1]],"int", 0, "Smallint", 0, "tinyint", 0, "Bit", 0, "varchar", "'A'", "nvarchar", "'A'", "char", "'A'", "numeric", 0,"decimal", 0, "date", "'01/01/2000'", "datetime", "'01/01/2000'", "")</f>
        <v/>
      </c>
      <c r="D94" s="3">
        <f>'Column Definition'!C100</f>
        <v>0</v>
      </c>
      <c r="E94" s="9" t="str">
        <f t="shared" si="11"/>
        <v>, 0</v>
      </c>
      <c r="F94" s="9" t="str">
        <f t="shared" si="12"/>
        <v>, s.0</v>
      </c>
      <c r="G94" s="3" t="str">
        <f t="shared" si="10"/>
        <v>OR (s.0 &lt;&gt; t.0 OR ( t.0 Is Null AND s.0 Is Not Null) OR ( t.0 Is not Null AND s.0 Is  Null))</v>
      </c>
      <c r="H94" s="9" t="str">
        <f t="shared" si="13"/>
        <v>, t.0 = s.0</v>
      </c>
    </row>
    <row r="95" spans="2:8" x14ac:dyDescent="0.25">
      <c r="B95" s="9">
        <f>'Column Definition'!F101</f>
        <v>0</v>
      </c>
      <c r="C95" s="14" t="str">
        <f>_xlfn.SWITCH(Table4[[#This Row],[Column1]],"int", 0, "Smallint", 0, "tinyint", 0, "Bit", 0, "varchar", "'A'", "nvarchar", "'A'", "char", "'A'", "numeric", 0,"decimal", 0, "date", "'01/01/2000'", "datetime", "'01/01/2000'", "")</f>
        <v/>
      </c>
      <c r="D95" s="3">
        <f>'Column Definition'!C101</f>
        <v>0</v>
      </c>
      <c r="E95" s="9" t="str">
        <f t="shared" si="11"/>
        <v>, 0</v>
      </c>
      <c r="F95" s="9" t="str">
        <f t="shared" si="12"/>
        <v>, s.0</v>
      </c>
      <c r="G95" s="3" t="str">
        <f t="shared" si="10"/>
        <v>OR (s.0 &lt;&gt; t.0 OR ( t.0 Is Null AND s.0 Is Not Null) OR ( t.0 Is not Null AND s.0 Is  Null))</v>
      </c>
      <c r="H95" s="9" t="str">
        <f t="shared" si="13"/>
        <v>, t.0 = s.0</v>
      </c>
    </row>
    <row r="96" spans="2:8" x14ac:dyDescent="0.25">
      <c r="B96" s="9">
        <f>'Column Definition'!F102</f>
        <v>0</v>
      </c>
      <c r="C96" s="14" t="str">
        <f>_xlfn.SWITCH(Table4[[#This Row],[Column1]],"int", 0, "Smallint", 0, "tinyint", 0, "Bit", 0, "varchar", "'A'", "nvarchar", "'A'", "char", "'A'", "numeric", 0,"decimal", 0, "date", "'01/01/2000'", "datetime", "'01/01/2000'", "")</f>
        <v/>
      </c>
      <c r="D96" s="3">
        <f>'Column Definition'!C102</f>
        <v>0</v>
      </c>
      <c r="E96" s="9" t="str">
        <f t="shared" si="11"/>
        <v>, 0</v>
      </c>
      <c r="F96" s="9" t="str">
        <f t="shared" si="12"/>
        <v>, s.0</v>
      </c>
      <c r="G96" s="3" t="str">
        <f t="shared" si="10"/>
        <v>OR (s.0 &lt;&gt; t.0 OR ( t.0 Is Null AND s.0 Is Not Null) OR ( t.0 Is not Null AND s.0 Is  Null))</v>
      </c>
      <c r="H96" s="9" t="str">
        <f t="shared" si="13"/>
        <v>, t.0 = s.0</v>
      </c>
    </row>
    <row r="97" spans="2:8" x14ac:dyDescent="0.25">
      <c r="B97" s="9">
        <f>'Column Definition'!F103</f>
        <v>0</v>
      </c>
      <c r="C97" s="14" t="str">
        <f>_xlfn.SWITCH(Table4[[#This Row],[Column1]],"int", 0, "Smallint", 0, "tinyint", 0, "Bit", 0, "varchar", "'A'", "nvarchar", "'A'", "char", "'A'", "numeric", 0,"decimal", 0, "date", "'01/01/2000'", "datetime", "'01/01/2000'", "")</f>
        <v/>
      </c>
      <c r="D97" s="3">
        <f>'Column Definition'!C103</f>
        <v>0</v>
      </c>
      <c r="E97" s="9" t="str">
        <f t="shared" si="11"/>
        <v>, 0</v>
      </c>
      <c r="F97" s="9" t="str">
        <f t="shared" si="12"/>
        <v>, s.0</v>
      </c>
      <c r="G97" s="3" t="str">
        <f t="shared" si="10"/>
        <v>OR (s.0 &lt;&gt; t.0 OR ( t.0 Is Null AND s.0 Is Not Null) OR ( t.0 Is not Null AND s.0 Is  Null))</v>
      </c>
      <c r="H97" s="9" t="str">
        <f t="shared" si="13"/>
        <v>, t.0 = s.0</v>
      </c>
    </row>
    <row r="98" spans="2:8" x14ac:dyDescent="0.25">
      <c r="B98" s="9">
        <f>'Column Definition'!F104</f>
        <v>0</v>
      </c>
      <c r="C98" s="14" t="str">
        <f>_xlfn.SWITCH(Table4[[#This Row],[Column1]],"int", 0, "Smallint", 0, "tinyint", 0, "Bit", 0, "varchar", "'A'", "nvarchar", "'A'", "char", "'A'", "numeric", 0,"decimal", 0, "date", "'01/01/2000'", "datetime", "'01/01/2000'", "")</f>
        <v/>
      </c>
      <c r="D98" s="3">
        <f>'Column Definition'!C104</f>
        <v>0</v>
      </c>
      <c r="E98" s="9" t="str">
        <f t="shared" si="11"/>
        <v>, 0</v>
      </c>
      <c r="F98" s="9" t="str">
        <f t="shared" si="12"/>
        <v>, s.0</v>
      </c>
      <c r="G98" s="3" t="str">
        <f t="shared" si="10"/>
        <v>OR (s.0 &lt;&gt; t.0 OR ( t.0 Is Null AND s.0 Is Not Null) OR ( t.0 Is not Null AND s.0 Is  Null))</v>
      </c>
      <c r="H98" s="9" t="str">
        <f t="shared" si="13"/>
        <v>, t.0 = s.0</v>
      </c>
    </row>
    <row r="99" spans="2:8" x14ac:dyDescent="0.25">
      <c r="B99" s="9">
        <f>'Column Definition'!F105</f>
        <v>0</v>
      </c>
      <c r="C99" s="14" t="str">
        <f>_xlfn.SWITCH(Table4[[#This Row],[Column1]],"int", 0, "Smallint", 0, "tinyint", 0, "Bit", 0, "varchar", "'A'", "nvarchar", "'A'", "char", "'A'", "numeric", 0,"decimal", 0, "date", "'01/01/2000'", "datetime", "'01/01/2000'", "")</f>
        <v/>
      </c>
      <c r="D99" s="3">
        <f>'Column Definition'!C105</f>
        <v>0</v>
      </c>
      <c r="E99" s="9" t="str">
        <f t="shared" si="11"/>
        <v>, 0</v>
      </c>
      <c r="F99" s="9" t="str">
        <f t="shared" si="12"/>
        <v>, s.0</v>
      </c>
      <c r="G99" s="3" t="str">
        <f t="shared" si="10"/>
        <v>OR (s.0 &lt;&gt; t.0 OR ( t.0 Is Null AND s.0 Is Not Null) OR ( t.0 Is not Null AND s.0 Is  Null))</v>
      </c>
      <c r="H99" s="9" t="str">
        <f t="shared" si="13"/>
        <v>, t.0 = s.0</v>
      </c>
    </row>
    <row r="100" spans="2:8" x14ac:dyDescent="0.25">
      <c r="B100" s="9">
        <f>'Column Definition'!F106</f>
        <v>0</v>
      </c>
      <c r="C100" s="14" t="str">
        <f>_xlfn.SWITCH(Table4[[#This Row],[Column1]],"int", 0, "Smallint", 0, "tinyint", 0, "Bit", 0, "varchar", "'A'", "nvarchar", "'A'", "char", "'A'", "numeric", 0,"decimal", 0, "date", "'01/01/2000'", "datetime", "'01/01/2000'", "")</f>
        <v/>
      </c>
      <c r="D100" s="3">
        <f>'Column Definition'!C106</f>
        <v>0</v>
      </c>
      <c r="E100" s="9" t="str">
        <f t="shared" si="11"/>
        <v>, 0</v>
      </c>
      <c r="F100" s="9" t="str">
        <f t="shared" si="12"/>
        <v>, s.0</v>
      </c>
      <c r="G100" s="3" t="str">
        <f t="shared" si="10"/>
        <v>OR (s.0 &lt;&gt; t.0 OR ( t.0 Is Null AND s.0 Is Not Null) OR ( t.0 Is not Null AND s.0 Is  Null))</v>
      </c>
      <c r="H100" s="9" t="str">
        <f t="shared" si="13"/>
        <v>, t.0 = s.0</v>
      </c>
    </row>
    <row r="101" spans="2:8" x14ac:dyDescent="0.25">
      <c r="B101" s="9">
        <f>'Column Definition'!F107</f>
        <v>0</v>
      </c>
      <c r="C101" s="14" t="str">
        <f>_xlfn.SWITCH(Table4[[#This Row],[Column1]],"int", 0, "Smallint", 0, "tinyint", 0, "Bit", 0, "varchar", "'A'", "nvarchar", "'A'", "char", "'A'", "numeric", 0,"decimal", 0, "date", "'01/01/2000'", "datetime", "'01/01/2000'", "")</f>
        <v/>
      </c>
      <c r="D101" s="3">
        <f>'Column Definition'!C107</f>
        <v>0</v>
      </c>
      <c r="E101" s="9" t="str">
        <f t="shared" si="11"/>
        <v>, 0</v>
      </c>
      <c r="F101" s="9" t="str">
        <f t="shared" si="12"/>
        <v>, s.0</v>
      </c>
      <c r="G101" s="3" t="str">
        <f t="shared" si="10"/>
        <v>OR (s.0 &lt;&gt; t.0 OR ( t.0 Is Null AND s.0 Is Not Null) OR ( t.0 Is not Null AND s.0 Is  Null))</v>
      </c>
      <c r="H101" s="9" t="str">
        <f t="shared" si="13"/>
        <v>, t.0 = s.0</v>
      </c>
    </row>
    <row r="102" spans="2:8" x14ac:dyDescent="0.25">
      <c r="B102" s="9">
        <f>'Column Definition'!F108</f>
        <v>0</v>
      </c>
      <c r="C102" s="14" t="str">
        <f>_xlfn.SWITCH(Table4[[#This Row],[Column1]],"int", 0, "Smallint", 0, "tinyint", 0, "Bit", 0, "varchar", "'A'", "nvarchar", "'A'", "char", "'A'", "numeric", 0,"decimal", 0, "date", "'01/01/2000'", "datetime", "'01/01/2000'", "")</f>
        <v/>
      </c>
      <c r="D102" s="3">
        <f>'Column Definition'!C108</f>
        <v>0</v>
      </c>
      <c r="E102" s="9" t="str">
        <f t="shared" si="11"/>
        <v>, 0</v>
      </c>
      <c r="F102" s="9" t="str">
        <f t="shared" si="12"/>
        <v>, s.0</v>
      </c>
      <c r="G102" s="3" t="str">
        <f t="shared" si="10"/>
        <v>OR (s.0 &lt;&gt; t.0 OR ( t.0 Is Null AND s.0 Is Not Null) OR ( t.0 Is not Null AND s.0 Is  Null))</v>
      </c>
      <c r="H102" s="9" t="str">
        <f t="shared" si="13"/>
        <v>, t.0 = s.0</v>
      </c>
    </row>
    <row r="103" spans="2:8" x14ac:dyDescent="0.25">
      <c r="B103" s="9">
        <f>'Column Definition'!F109</f>
        <v>0</v>
      </c>
      <c r="C103" s="14" t="str">
        <f>_xlfn.SWITCH(Table4[[#This Row],[Column1]],"int", 0, "Smallint", 0, "tinyint", 0, "Bit", 0, "varchar", "'A'", "nvarchar", "'A'", "char", "'A'", "numeric", 0,"decimal", 0, "date", "'01/01/2000'", "datetime", "'01/01/2000'", "")</f>
        <v/>
      </c>
      <c r="D103" s="3">
        <f>'Column Definition'!C109</f>
        <v>0</v>
      </c>
      <c r="E103" s="9" t="str">
        <f t="shared" si="11"/>
        <v>, 0</v>
      </c>
      <c r="F103" s="9" t="str">
        <f t="shared" si="12"/>
        <v>, s.0</v>
      </c>
      <c r="G103" s="3" t="str">
        <f t="shared" si="10"/>
        <v>OR (s.0 &lt;&gt; t.0 OR ( t.0 Is Null AND s.0 Is Not Null) OR ( t.0 Is not Null AND s.0 Is  Null))</v>
      </c>
      <c r="H103" s="9" t="str">
        <f t="shared" si="13"/>
        <v>, t.0 = s.0</v>
      </c>
    </row>
    <row r="104" spans="2:8" x14ac:dyDescent="0.25">
      <c r="B104" s="9">
        <f>'Column Definition'!F110</f>
        <v>0</v>
      </c>
      <c r="C104" s="14" t="str">
        <f>_xlfn.SWITCH(Table4[[#This Row],[Column1]],"int", 0, "Smallint", 0, "tinyint", 0, "Bit", 0, "varchar", "'A'", "nvarchar", "'A'", "char", "'A'", "numeric", 0,"decimal", 0, "date", "'01/01/2000'", "datetime", "'01/01/2000'", "")</f>
        <v/>
      </c>
      <c r="D104" s="3">
        <f>'Column Definition'!C110</f>
        <v>0</v>
      </c>
      <c r="E104" s="9" t="str">
        <f t="shared" si="11"/>
        <v>, 0</v>
      </c>
      <c r="F104" s="9" t="str">
        <f t="shared" si="12"/>
        <v>, s.0</v>
      </c>
      <c r="G104" s="3" t="str">
        <f t="shared" si="10"/>
        <v>OR (s.0 &lt;&gt; t.0 OR ( t.0 Is Null AND s.0 Is Not Null) OR ( t.0 Is not Null AND s.0 Is  Null))</v>
      </c>
      <c r="H104" s="9" t="str">
        <f t="shared" si="13"/>
        <v>, t.0 = s.0</v>
      </c>
    </row>
    <row r="105" spans="2:8" x14ac:dyDescent="0.25">
      <c r="B105" s="9">
        <f>'Column Definition'!F111</f>
        <v>0</v>
      </c>
      <c r="C105" s="14" t="str">
        <f>_xlfn.SWITCH(Table4[[#This Row],[Column1]],"int", 0, "Smallint", 0, "tinyint", 0, "Bit", 0, "varchar", "'A'", "nvarchar", "'A'", "char", "'A'", "numeric", 0,"decimal", 0, "date", "'01/01/2000'", "datetime", "'01/01/2000'", "")</f>
        <v/>
      </c>
      <c r="D105" s="3">
        <f>'Column Definition'!C111</f>
        <v>0</v>
      </c>
      <c r="E105" s="9" t="str">
        <f t="shared" si="11"/>
        <v>, 0</v>
      </c>
      <c r="F105" s="9" t="str">
        <f t="shared" si="12"/>
        <v>, s.0</v>
      </c>
      <c r="G105" s="3" t="str">
        <f t="shared" si="10"/>
        <v>OR (s.0 &lt;&gt; t.0 OR ( t.0 Is Null AND s.0 Is Not Null) OR ( t.0 Is not Null AND s.0 Is  Null))</v>
      </c>
      <c r="H105" s="9" t="str">
        <f t="shared" si="13"/>
        <v>, t.0 = s.0</v>
      </c>
    </row>
    <row r="106" spans="2:8" x14ac:dyDescent="0.25">
      <c r="B106" s="9">
        <f>'Column Definition'!F112</f>
        <v>0</v>
      </c>
      <c r="C106" s="14" t="str">
        <f>_xlfn.SWITCH(Table4[[#This Row],[Column1]],"int", 0, "Smallint", 0, "tinyint", 0, "Bit", 0, "varchar", "'A'", "nvarchar", "'A'", "char", "'A'", "numeric", 0,"decimal", 0, "date", "'01/01/2000'", "datetime", "'01/01/2000'", "")</f>
        <v/>
      </c>
      <c r="D106" s="3">
        <f>'Column Definition'!C112</f>
        <v>0</v>
      </c>
      <c r="E106" s="9" t="str">
        <f t="shared" si="11"/>
        <v>, 0</v>
      </c>
      <c r="F106" s="9" t="str">
        <f t="shared" si="12"/>
        <v>, s.0</v>
      </c>
      <c r="G106" s="3" t="str">
        <f t="shared" si="10"/>
        <v>OR (s.0 &lt;&gt; t.0 OR ( t.0 Is Null AND s.0 Is Not Null) OR ( t.0 Is not Null AND s.0 Is  Null))</v>
      </c>
      <c r="H106" s="9" t="str">
        <f t="shared" si="13"/>
        <v>, t.0 = s.0</v>
      </c>
    </row>
    <row r="107" spans="2:8" x14ac:dyDescent="0.25">
      <c r="B107" s="9">
        <f>'Column Definition'!F113</f>
        <v>0</v>
      </c>
      <c r="C107" s="14" t="str">
        <f>_xlfn.SWITCH(Table4[[#This Row],[Column1]],"int", 0, "Smallint", 0, "tinyint", 0, "Bit", 0, "varchar", "'A'", "nvarchar", "'A'", "char", "'A'", "numeric", 0,"decimal", 0, "date", "'01/01/2000'", "datetime", "'01/01/2000'", "")</f>
        <v/>
      </c>
      <c r="D107" s="3">
        <f>'Column Definition'!C113</f>
        <v>0</v>
      </c>
      <c r="E107" s="9" t="str">
        <f t="shared" si="11"/>
        <v>, 0</v>
      </c>
      <c r="F107" s="9" t="str">
        <f t="shared" si="12"/>
        <v>, s.0</v>
      </c>
      <c r="G107" s="3" t="str">
        <f t="shared" si="10"/>
        <v>OR (s.0 &lt;&gt; t.0 OR ( t.0 Is Null AND s.0 Is Not Null) OR ( t.0 Is not Null AND s.0 Is  Null))</v>
      </c>
      <c r="H107" s="9" t="str">
        <f t="shared" si="13"/>
        <v>, t.0 = s.0</v>
      </c>
    </row>
    <row r="108" spans="2:8" x14ac:dyDescent="0.25">
      <c r="B108" s="9">
        <f>'Column Definition'!F114</f>
        <v>0</v>
      </c>
      <c r="C108" s="14" t="str">
        <f>_xlfn.SWITCH(Table4[[#This Row],[Column1]],"int", 0, "Smallint", 0, "tinyint", 0, "Bit", 0, "varchar", "'A'", "nvarchar", "'A'", "char", "'A'", "numeric", 0,"decimal", 0, "date", "'01/01/2000'", "datetime", "'01/01/2000'", "")</f>
        <v/>
      </c>
      <c r="D108" s="3">
        <f>'Column Definition'!C114</f>
        <v>0</v>
      </c>
      <c r="E108" s="9" t="str">
        <f t="shared" ref="E108:E119" si="14">", "&amp;D108</f>
        <v>, 0</v>
      </c>
      <c r="F108" s="9" t="str">
        <f t="shared" ref="F108:F119" si="15">", s."&amp;D108</f>
        <v>, s.0</v>
      </c>
      <c r="G108" s="3" t="str">
        <f t="shared" si="10"/>
        <v>OR (s.0 &lt;&gt; t.0 OR ( t.0 Is Null AND s.0 Is Not Null) OR ( t.0 Is not Null AND s.0 Is  Null))</v>
      </c>
      <c r="H108" s="9" t="str">
        <f t="shared" ref="H108:H119" si="16">", t."&amp; D108  &amp; " = s." &amp; D108</f>
        <v>, t.0 = s.0</v>
      </c>
    </row>
    <row r="109" spans="2:8" x14ac:dyDescent="0.25">
      <c r="B109" s="9">
        <f>'Column Definition'!F115</f>
        <v>0</v>
      </c>
      <c r="C109" s="14" t="str">
        <f>_xlfn.SWITCH(Table4[[#This Row],[Column1]],"int", 0, "Smallint", 0, "tinyint", 0, "Bit", 0, "varchar", "'A'", "nvarchar", "'A'", "char", "'A'", "numeric", 0,"decimal", 0, "date", "'01/01/2000'", "datetime", "'01/01/2000'", "")</f>
        <v/>
      </c>
      <c r="D109" s="3">
        <f>'Column Definition'!C115</f>
        <v>0</v>
      </c>
      <c r="E109" s="9" t="str">
        <f t="shared" si="14"/>
        <v>, 0</v>
      </c>
      <c r="F109" s="9" t="str">
        <f t="shared" si="15"/>
        <v>, s.0</v>
      </c>
      <c r="G109" s="3" t="str">
        <f t="shared" si="10"/>
        <v>OR (s.0 &lt;&gt; t.0 OR ( t.0 Is Null AND s.0 Is Not Null) OR ( t.0 Is not Null AND s.0 Is  Null))</v>
      </c>
      <c r="H109" s="9" t="str">
        <f t="shared" si="16"/>
        <v>, t.0 = s.0</v>
      </c>
    </row>
    <row r="110" spans="2:8" x14ac:dyDescent="0.25">
      <c r="B110" s="9">
        <f>'Column Definition'!F116</f>
        <v>0</v>
      </c>
      <c r="C110" s="14" t="str">
        <f>_xlfn.SWITCH(Table4[[#This Row],[Column1]],"int", 0, "Smallint", 0, "tinyint", 0, "Bit", 0, "varchar", "'A'", "nvarchar", "'A'", "char", "'A'", "numeric", 0,"decimal", 0, "date", "'01/01/2000'", "datetime", "'01/01/2000'", "")</f>
        <v/>
      </c>
      <c r="D110" s="3">
        <f>'Column Definition'!C116</f>
        <v>0</v>
      </c>
      <c r="E110" s="9" t="str">
        <f t="shared" si="14"/>
        <v>, 0</v>
      </c>
      <c r="F110" s="9" t="str">
        <f t="shared" si="15"/>
        <v>, s.0</v>
      </c>
      <c r="G110" s="3" t="str">
        <f t="shared" si="10"/>
        <v>OR (s.0 &lt;&gt; t.0 OR ( t.0 Is Null AND s.0 Is Not Null) OR ( t.0 Is not Null AND s.0 Is  Null))</v>
      </c>
      <c r="H110" s="9" t="str">
        <f t="shared" si="16"/>
        <v>, t.0 = s.0</v>
      </c>
    </row>
    <row r="111" spans="2:8" x14ac:dyDescent="0.25">
      <c r="B111" s="9">
        <f>'Column Definition'!F117</f>
        <v>0</v>
      </c>
      <c r="C111" s="14" t="str">
        <f>_xlfn.SWITCH(Table4[[#This Row],[Column1]],"int", 0, "Smallint", 0, "tinyint", 0, "Bit", 0, "varchar", "'A'", "nvarchar", "'A'", "char", "'A'", "numeric", 0,"decimal", 0, "date", "'01/01/2000'", "datetime", "'01/01/2000'", "")</f>
        <v/>
      </c>
      <c r="D111" s="3">
        <f>'Column Definition'!C117</f>
        <v>0</v>
      </c>
      <c r="E111" s="9" t="str">
        <f t="shared" si="14"/>
        <v>, 0</v>
      </c>
      <c r="F111" s="9" t="str">
        <f t="shared" si="15"/>
        <v>, s.0</v>
      </c>
      <c r="G111" s="3" t="str">
        <f t="shared" si="10"/>
        <v>OR (s.0 &lt;&gt; t.0 OR ( t.0 Is Null AND s.0 Is Not Null) OR ( t.0 Is not Null AND s.0 Is  Null))</v>
      </c>
      <c r="H111" s="9" t="str">
        <f t="shared" si="16"/>
        <v>, t.0 = s.0</v>
      </c>
    </row>
    <row r="112" spans="2:8" x14ac:dyDescent="0.25">
      <c r="B112" s="9">
        <f>'Column Definition'!F118</f>
        <v>0</v>
      </c>
      <c r="C112" s="14" t="str">
        <f>_xlfn.SWITCH(Table4[[#This Row],[Column1]],"int", 0, "Smallint", 0, "tinyint", 0, "Bit", 0, "varchar", "'A'", "nvarchar", "'A'", "char", "'A'", "numeric", 0,"decimal", 0, "date", "'01/01/2000'", "datetime", "'01/01/2000'", "")</f>
        <v/>
      </c>
      <c r="D112" s="3">
        <f>'Column Definition'!C118</f>
        <v>0</v>
      </c>
      <c r="E112" s="9" t="str">
        <f t="shared" si="14"/>
        <v>, 0</v>
      </c>
      <c r="F112" s="9" t="str">
        <f t="shared" si="15"/>
        <v>, s.0</v>
      </c>
      <c r="G112" s="3" t="str">
        <f t="shared" si="10"/>
        <v>OR (s.0 &lt;&gt; t.0 OR ( t.0 Is Null AND s.0 Is Not Null) OR ( t.0 Is not Null AND s.0 Is  Null))</v>
      </c>
      <c r="H112" s="9" t="str">
        <f t="shared" si="16"/>
        <v>, t.0 = s.0</v>
      </c>
    </row>
    <row r="113" spans="2:8" x14ac:dyDescent="0.25">
      <c r="B113" s="9">
        <f>'Column Definition'!F119</f>
        <v>0</v>
      </c>
      <c r="C113" s="14" t="str">
        <f>_xlfn.SWITCH(Table4[[#This Row],[Column1]],"int", 0, "Smallint", 0, "tinyint", 0, "Bit", 0, "varchar", "'A'", "nvarchar", "'A'", "char", "'A'", "numeric", 0,"decimal", 0, "date", "'01/01/2000'", "datetime", "'01/01/2000'", "")</f>
        <v/>
      </c>
      <c r="D113" s="3">
        <f>'Column Definition'!C119</f>
        <v>0</v>
      </c>
      <c r="E113" s="9" t="str">
        <f t="shared" si="14"/>
        <v>, 0</v>
      </c>
      <c r="F113" s="9" t="str">
        <f t="shared" si="15"/>
        <v>, s.0</v>
      </c>
      <c r="G113" s="3" t="str">
        <f t="shared" si="10"/>
        <v>OR (s.0 &lt;&gt; t.0 OR ( t.0 Is Null AND s.0 Is Not Null) OR ( t.0 Is not Null AND s.0 Is  Null))</v>
      </c>
      <c r="H113" s="9" t="str">
        <f t="shared" si="16"/>
        <v>, t.0 = s.0</v>
      </c>
    </row>
    <row r="114" spans="2:8" x14ac:dyDescent="0.25">
      <c r="B114" s="9">
        <f>'Column Definition'!F120</f>
        <v>0</v>
      </c>
      <c r="C114" s="14" t="str">
        <f>_xlfn.SWITCH(Table4[[#This Row],[Column1]],"int", 0, "Smallint", 0, "tinyint", 0, "Bit", 0, "varchar", "'A'", "nvarchar", "'A'", "char", "'A'", "numeric", 0,"decimal", 0, "date", "'01/01/2000'", "datetime", "'01/01/2000'", "")</f>
        <v/>
      </c>
      <c r="D114" s="3">
        <f>'Column Definition'!C120</f>
        <v>0</v>
      </c>
      <c r="E114" s="9" t="str">
        <f t="shared" si="14"/>
        <v>, 0</v>
      </c>
      <c r="F114" s="9" t="str">
        <f t="shared" si="15"/>
        <v>, s.0</v>
      </c>
      <c r="G114" s="3" t="str">
        <f t="shared" si="10"/>
        <v>OR (s.0 &lt;&gt; t.0 OR ( t.0 Is Null AND s.0 Is Not Null) OR ( t.0 Is not Null AND s.0 Is  Null))</v>
      </c>
      <c r="H114" s="9" t="str">
        <f t="shared" si="16"/>
        <v>, t.0 = s.0</v>
      </c>
    </row>
    <row r="115" spans="2:8" x14ac:dyDescent="0.25">
      <c r="B115" s="9">
        <f>'Column Definition'!F121</f>
        <v>0</v>
      </c>
      <c r="C115" s="14" t="str">
        <f>_xlfn.SWITCH(Table4[[#This Row],[Column1]],"int", 0, "Smallint", 0, "tinyint", 0, "Bit", 0, "varchar", "'A'", "nvarchar", "'A'", "char", "'A'", "numeric", 0,"decimal", 0, "date", "'01/01/2000'", "datetime", "'01/01/2000'", "")</f>
        <v/>
      </c>
      <c r="D115" s="3">
        <f>'Column Definition'!C121</f>
        <v>0</v>
      </c>
      <c r="E115" s="9" t="str">
        <f t="shared" si="14"/>
        <v>, 0</v>
      </c>
      <c r="F115" s="9" t="str">
        <f t="shared" si="15"/>
        <v>, s.0</v>
      </c>
      <c r="G115" s="3" t="str">
        <f t="shared" si="10"/>
        <v>OR (s.0 &lt;&gt; t.0 OR ( t.0 Is Null AND s.0 Is Not Null) OR ( t.0 Is not Null AND s.0 Is  Null))</v>
      </c>
      <c r="H115" s="9" t="str">
        <f t="shared" si="16"/>
        <v>, t.0 = s.0</v>
      </c>
    </row>
    <row r="116" spans="2:8" x14ac:dyDescent="0.25">
      <c r="B116" s="9">
        <f>'Column Definition'!F122</f>
        <v>0</v>
      </c>
      <c r="C116" s="14" t="str">
        <f>_xlfn.SWITCH(Table4[[#This Row],[Column1]],"int", 0, "Smallint", 0, "tinyint", 0, "Bit", 0, "varchar", "'A'", "nvarchar", "'A'", "char", "'A'", "numeric", 0,"decimal", 0, "date", "'01/01/2000'", "datetime", "'01/01/2000'", "")</f>
        <v/>
      </c>
      <c r="D116" s="3">
        <f>'Column Definition'!C122</f>
        <v>0</v>
      </c>
      <c r="E116" s="9" t="str">
        <f t="shared" si="14"/>
        <v>, 0</v>
      </c>
      <c r="F116" s="9" t="str">
        <f t="shared" si="15"/>
        <v>, s.0</v>
      </c>
      <c r="G116" s="3" t="str">
        <f t="shared" si="10"/>
        <v>OR (s.0 &lt;&gt; t.0 OR ( t.0 Is Null AND s.0 Is Not Null) OR ( t.0 Is not Null AND s.0 Is  Null))</v>
      </c>
      <c r="H116" s="9" t="str">
        <f t="shared" si="16"/>
        <v>, t.0 = s.0</v>
      </c>
    </row>
    <row r="117" spans="2:8" x14ac:dyDescent="0.25">
      <c r="B117" s="9">
        <f>'Column Definition'!F123</f>
        <v>0</v>
      </c>
      <c r="C117" s="14" t="str">
        <f>_xlfn.SWITCH(Table4[[#This Row],[Column1]],"int", 0, "Smallint", 0, "tinyint", 0, "Bit", 0, "varchar", "'A'", "nvarchar", "'A'", "char", "'A'", "numeric", 0,"decimal", 0, "date", "'01/01/2000'", "datetime", "'01/01/2000'", "")</f>
        <v/>
      </c>
      <c r="D117" s="3">
        <f>'Column Definition'!C123</f>
        <v>0</v>
      </c>
      <c r="E117" s="9" t="str">
        <f t="shared" si="14"/>
        <v>, 0</v>
      </c>
      <c r="F117" s="9" t="str">
        <f t="shared" si="15"/>
        <v>, s.0</v>
      </c>
      <c r="G117" s="3" t="str">
        <f t="shared" si="10"/>
        <v>OR (s.0 &lt;&gt; t.0 OR ( t.0 Is Null AND s.0 Is Not Null) OR ( t.0 Is not Null AND s.0 Is  Null))</v>
      </c>
      <c r="H117" s="9" t="str">
        <f t="shared" si="16"/>
        <v>, t.0 = s.0</v>
      </c>
    </row>
    <row r="118" spans="2:8" x14ac:dyDescent="0.25">
      <c r="B118" s="9">
        <f>'Column Definition'!F124</f>
        <v>0</v>
      </c>
      <c r="C118" s="14" t="str">
        <f>_xlfn.SWITCH(Table4[[#This Row],[Column1]],"int", 0, "Smallint", 0, "tinyint", 0, "Bit", 0, "varchar", "'A'", "nvarchar", "'A'", "char", "'A'", "numeric", 0,"decimal", 0, "date", "'01/01/2000'", "datetime", "'01/01/2000'", "")</f>
        <v/>
      </c>
      <c r="D118" s="3">
        <f>'Column Definition'!C124</f>
        <v>0</v>
      </c>
      <c r="E118" s="9" t="str">
        <f t="shared" si="14"/>
        <v>, 0</v>
      </c>
      <c r="F118" s="9" t="str">
        <f t="shared" si="15"/>
        <v>, s.0</v>
      </c>
      <c r="G118" s="3" t="str">
        <f t="shared" si="10"/>
        <v>OR (s.0 &lt;&gt; t.0 OR ( t.0 Is Null AND s.0 Is Not Null) OR ( t.0 Is not Null AND s.0 Is  Null))</v>
      </c>
      <c r="H118" s="9" t="str">
        <f t="shared" si="16"/>
        <v>, t.0 = s.0</v>
      </c>
    </row>
    <row r="119" spans="2:8" x14ac:dyDescent="0.25">
      <c r="B119" s="9">
        <f>'Column Definition'!F125</f>
        <v>0</v>
      </c>
      <c r="C119" s="14" t="str">
        <f>_xlfn.SWITCH(Table4[[#This Row],[Column1]],"int", 0, "Smallint", 0, "tinyint", 0, "Bit", 0, "varchar", "'A'", "nvarchar", "'A'", "char", "'A'", "numeric", 0,"decimal", 0, "date", "'01/01/2000'", "datetime", "'01/01/2000'", "")</f>
        <v/>
      </c>
      <c r="D119" s="3">
        <f>'Column Definition'!C125</f>
        <v>0</v>
      </c>
      <c r="E119" s="9" t="str">
        <f t="shared" si="14"/>
        <v>, 0</v>
      </c>
      <c r="F119" s="9" t="str">
        <f t="shared" si="15"/>
        <v>, s.0</v>
      </c>
      <c r="G119" s="3" t="str">
        <f t="shared" si="10"/>
        <v>OR (s.0 &lt;&gt; t.0 OR ( t.0 Is Null AND s.0 Is Not Null) OR ( t.0 Is not Null AND s.0 Is  Null))</v>
      </c>
      <c r="H119" s="9" t="str">
        <f t="shared" si="16"/>
        <v>, t.0 = s.0</v>
      </c>
    </row>
    <row r="120" spans="2:8" x14ac:dyDescent="0.25">
      <c r="B120" s="9">
        <f>'Column Definition'!F126</f>
        <v>0</v>
      </c>
      <c r="C120" s="14" t="str">
        <f>_xlfn.SWITCH(Table4[[#This Row],[Column1]],"int", 0, "Smallint", 0, "tinyint", 0, "Bit", 0, "varchar", "'A'", "nvarchar", "'A'", "char", "'A'", "numeric", 0,"decimal", 0, "date", "'01/01/2000'", "datetime", "'01/01/2000'", "")</f>
        <v/>
      </c>
      <c r="D120" s="3">
        <f>'Column Definition'!C126</f>
        <v>0</v>
      </c>
      <c r="E120" s="9" t="str">
        <f t="shared" ref="E120:E151" si="17">", "&amp;D120</f>
        <v>, 0</v>
      </c>
      <c r="F120" s="9" t="str">
        <f t="shared" ref="F120:F151" si="18">", s."&amp;D120</f>
        <v>, s.0</v>
      </c>
      <c r="G120" s="3" t="str">
        <f t="shared" si="10"/>
        <v>OR (s.0 &lt;&gt; t.0 OR ( t.0 Is Null AND s.0 Is Not Null) OR ( t.0 Is not Null AND s.0 Is  Null))</v>
      </c>
      <c r="H120" s="9" t="str">
        <f t="shared" ref="H120:H151" si="19">", t."&amp; D120  &amp; " = s." &amp; D120</f>
        <v>, t.0 = s.0</v>
      </c>
    </row>
    <row r="121" spans="2:8" x14ac:dyDescent="0.25">
      <c r="B121" s="9">
        <f>'Column Definition'!F127</f>
        <v>0</v>
      </c>
      <c r="C121" s="14" t="str">
        <f>_xlfn.SWITCH(Table4[[#This Row],[Column1]],"int", 0, "Smallint", 0, "tinyint", 0, "Bit", 0, "varchar", "'A'", "nvarchar", "'A'", "char", "'A'", "numeric", 0,"decimal", 0, "date", "'01/01/2000'", "datetime", "'01/01/2000'", "")</f>
        <v/>
      </c>
      <c r="D121" s="3">
        <f>'Column Definition'!C127</f>
        <v>0</v>
      </c>
      <c r="E121" s="9" t="str">
        <f t="shared" si="17"/>
        <v>, 0</v>
      </c>
      <c r="F121" s="9" t="str">
        <f t="shared" si="18"/>
        <v>, s.0</v>
      </c>
      <c r="G121" s="3" t="str">
        <f t="shared" si="10"/>
        <v>OR (s.0 &lt;&gt; t.0 OR ( t.0 Is Null AND s.0 Is Not Null) OR ( t.0 Is not Null AND s.0 Is  Null))</v>
      </c>
      <c r="H121" s="9" t="str">
        <f t="shared" si="19"/>
        <v>, t.0 = s.0</v>
      </c>
    </row>
    <row r="122" spans="2:8" x14ac:dyDescent="0.25">
      <c r="B122" s="9">
        <f>'Column Definition'!F128</f>
        <v>0</v>
      </c>
      <c r="C122" s="14" t="str">
        <f>_xlfn.SWITCH(Table4[[#This Row],[Column1]],"int", 0, "Smallint", 0, "tinyint", 0, "Bit", 0, "varchar", "'A'", "nvarchar", "'A'", "char", "'A'", "numeric", 0,"decimal", 0, "date", "'01/01/2000'", "datetime", "'01/01/2000'", "")</f>
        <v/>
      </c>
      <c r="D122" s="3">
        <f>'Column Definition'!C128</f>
        <v>0</v>
      </c>
      <c r="E122" s="9" t="str">
        <f t="shared" si="17"/>
        <v>, 0</v>
      </c>
      <c r="F122" s="9" t="str">
        <f t="shared" si="18"/>
        <v>, s.0</v>
      </c>
      <c r="G122" s="3" t="str">
        <f t="shared" si="10"/>
        <v>OR (s.0 &lt;&gt; t.0 OR ( t.0 Is Null AND s.0 Is Not Null) OR ( t.0 Is not Null AND s.0 Is  Null))</v>
      </c>
      <c r="H122" s="9" t="str">
        <f t="shared" si="19"/>
        <v>, t.0 = s.0</v>
      </c>
    </row>
    <row r="123" spans="2:8" x14ac:dyDescent="0.25">
      <c r="B123" s="9">
        <f>'Column Definition'!F129</f>
        <v>0</v>
      </c>
      <c r="C123" s="14" t="str">
        <f>_xlfn.SWITCH(Table4[[#This Row],[Column1]],"int", 0, "Smallint", 0, "tinyint", 0, "Bit", 0, "varchar", "'A'", "nvarchar", "'A'", "char", "'A'", "numeric", 0,"decimal", 0, "date", "'01/01/2000'", "datetime", "'01/01/2000'", "")</f>
        <v/>
      </c>
      <c r="D123" s="3">
        <f>'Column Definition'!C129</f>
        <v>0</v>
      </c>
      <c r="E123" s="9" t="str">
        <f t="shared" si="17"/>
        <v>, 0</v>
      </c>
      <c r="F123" s="9" t="str">
        <f t="shared" si="18"/>
        <v>, s.0</v>
      </c>
      <c r="G123" s="3" t="str">
        <f t="shared" si="10"/>
        <v>OR (s.0 &lt;&gt; t.0 OR ( t.0 Is Null AND s.0 Is Not Null) OR ( t.0 Is not Null AND s.0 Is  Null))</v>
      </c>
      <c r="H123" s="9" t="str">
        <f t="shared" si="19"/>
        <v>, t.0 = s.0</v>
      </c>
    </row>
    <row r="124" spans="2:8" x14ac:dyDescent="0.25">
      <c r="B124" s="9">
        <f>'Column Definition'!F130</f>
        <v>0</v>
      </c>
      <c r="C124" s="14" t="str">
        <f>_xlfn.SWITCH(Table4[[#This Row],[Column1]],"int", 0, "Smallint", 0, "tinyint", 0, "Bit", 0, "varchar", "'A'", "nvarchar", "'A'", "char", "'A'", "numeric", 0,"decimal", 0, "date", "'01/01/2000'", "datetime", "'01/01/2000'", "")</f>
        <v/>
      </c>
      <c r="D124" s="3">
        <f>'Column Definition'!C130</f>
        <v>0</v>
      </c>
      <c r="E124" s="9" t="str">
        <f t="shared" si="17"/>
        <v>, 0</v>
      </c>
      <c r="F124" s="9" t="str">
        <f t="shared" si="18"/>
        <v>, s.0</v>
      </c>
      <c r="G124" s="3" t="str">
        <f t="shared" si="10"/>
        <v>OR (s.0 &lt;&gt; t.0 OR ( t.0 Is Null AND s.0 Is Not Null) OR ( t.0 Is not Null AND s.0 Is  Null))</v>
      </c>
      <c r="H124" s="9" t="str">
        <f t="shared" si="19"/>
        <v>, t.0 = s.0</v>
      </c>
    </row>
    <row r="125" spans="2:8" x14ac:dyDescent="0.25">
      <c r="B125" s="9">
        <f>'Column Definition'!F131</f>
        <v>0</v>
      </c>
      <c r="C125" s="14" t="str">
        <f>_xlfn.SWITCH(Table4[[#This Row],[Column1]],"int", 0, "Smallint", 0, "tinyint", 0, "Bit", 0, "varchar", "'A'", "nvarchar", "'A'", "char", "'A'", "numeric", 0,"decimal", 0, "date", "'01/01/2000'", "datetime", "'01/01/2000'", "")</f>
        <v/>
      </c>
      <c r="D125" s="3">
        <f>'Column Definition'!C131</f>
        <v>0</v>
      </c>
      <c r="E125" s="9" t="str">
        <f t="shared" si="17"/>
        <v>, 0</v>
      </c>
      <c r="F125" s="9" t="str">
        <f t="shared" si="18"/>
        <v>, s.0</v>
      </c>
      <c r="G125" s="3" t="str">
        <f t="shared" si="10"/>
        <v>OR (s.0 &lt;&gt; t.0 OR ( t.0 Is Null AND s.0 Is Not Null) OR ( t.0 Is not Null AND s.0 Is  Null))</v>
      </c>
      <c r="H125" s="9" t="str">
        <f t="shared" si="19"/>
        <v>, t.0 = s.0</v>
      </c>
    </row>
    <row r="126" spans="2:8" x14ac:dyDescent="0.25">
      <c r="B126" s="9">
        <f>'Column Definition'!F132</f>
        <v>0</v>
      </c>
      <c r="C126" s="14" t="str">
        <f>_xlfn.SWITCH(Table4[[#This Row],[Column1]],"int", 0, "Smallint", 0, "tinyint", 0, "Bit", 0, "varchar", "'A'", "nvarchar", "'A'", "char", "'A'", "numeric", 0,"decimal", 0, "date", "'01/01/2000'", "datetime", "'01/01/2000'", "")</f>
        <v/>
      </c>
      <c r="D126" s="3">
        <f>'Column Definition'!C132</f>
        <v>0</v>
      </c>
      <c r="E126" s="9" t="str">
        <f t="shared" si="17"/>
        <v>, 0</v>
      </c>
      <c r="F126" s="9" t="str">
        <f t="shared" si="18"/>
        <v>, s.0</v>
      </c>
      <c r="G126" s="3" t="str">
        <f t="shared" si="10"/>
        <v>OR (s.0 &lt;&gt; t.0 OR ( t.0 Is Null AND s.0 Is Not Null) OR ( t.0 Is not Null AND s.0 Is  Null))</v>
      </c>
      <c r="H126" s="9" t="str">
        <f t="shared" si="19"/>
        <v>, t.0 = s.0</v>
      </c>
    </row>
    <row r="127" spans="2:8" x14ac:dyDescent="0.25">
      <c r="B127" s="9">
        <f>'Column Definition'!F133</f>
        <v>0</v>
      </c>
      <c r="C127" s="14" t="str">
        <f>_xlfn.SWITCH(Table4[[#This Row],[Column1]],"int", 0, "Smallint", 0, "tinyint", 0, "Bit", 0, "varchar", "'A'", "nvarchar", "'A'", "char", "'A'", "numeric", 0,"decimal", 0, "date", "'01/01/2000'", "datetime", "'01/01/2000'", "")</f>
        <v/>
      </c>
      <c r="D127" s="3">
        <f>'Column Definition'!C133</f>
        <v>0</v>
      </c>
      <c r="E127" s="9" t="str">
        <f t="shared" si="17"/>
        <v>, 0</v>
      </c>
      <c r="F127" s="9" t="str">
        <f t="shared" si="18"/>
        <v>, s.0</v>
      </c>
      <c r="G127" s="3" t="str">
        <f t="shared" si="10"/>
        <v>OR (s.0 &lt;&gt; t.0 OR ( t.0 Is Null AND s.0 Is Not Null) OR ( t.0 Is not Null AND s.0 Is  Null))</v>
      </c>
      <c r="H127" s="9" t="str">
        <f t="shared" si="19"/>
        <v>, t.0 = s.0</v>
      </c>
    </row>
    <row r="128" spans="2:8" x14ac:dyDescent="0.25">
      <c r="B128" s="9">
        <f>'Column Definition'!F134</f>
        <v>0</v>
      </c>
      <c r="C128" s="14" t="str">
        <f>_xlfn.SWITCH(Table4[[#This Row],[Column1]],"int", 0, "Smallint", 0, "tinyint", 0, "Bit", 0, "varchar", "'A'", "nvarchar", "'A'", "char", "'A'", "numeric", 0,"decimal", 0, "date", "'01/01/2000'", "datetime", "'01/01/2000'", "")</f>
        <v/>
      </c>
      <c r="D128" s="3">
        <f>'Column Definition'!C134</f>
        <v>0</v>
      </c>
      <c r="E128" s="9" t="str">
        <f t="shared" si="17"/>
        <v>, 0</v>
      </c>
      <c r="F128" s="9" t="str">
        <f t="shared" si="18"/>
        <v>, s.0</v>
      </c>
      <c r="G128" s="3" t="str">
        <f t="shared" si="10"/>
        <v>OR (s.0 &lt;&gt; t.0 OR ( t.0 Is Null AND s.0 Is Not Null) OR ( t.0 Is not Null AND s.0 Is  Null))</v>
      </c>
      <c r="H128" s="9" t="str">
        <f t="shared" si="19"/>
        <v>, t.0 = s.0</v>
      </c>
    </row>
    <row r="129" spans="2:8" x14ac:dyDescent="0.25">
      <c r="B129" s="9">
        <f>'Column Definition'!F135</f>
        <v>0</v>
      </c>
      <c r="C129" s="14" t="str">
        <f>_xlfn.SWITCH(Table4[[#This Row],[Column1]],"int", 0, "Smallint", 0, "tinyint", 0, "Bit", 0, "varchar", "'A'", "nvarchar", "'A'", "char", "'A'", "numeric", 0,"decimal", 0, "date", "'01/01/2000'", "datetime", "'01/01/2000'", "")</f>
        <v/>
      </c>
      <c r="D129" s="3">
        <f>'Column Definition'!C135</f>
        <v>0</v>
      </c>
      <c r="E129" s="9" t="str">
        <f t="shared" si="17"/>
        <v>, 0</v>
      </c>
      <c r="F129" s="9" t="str">
        <f t="shared" si="18"/>
        <v>, s.0</v>
      </c>
      <c r="G129" s="3" t="str">
        <f t="shared" si="10"/>
        <v>OR (s.0 &lt;&gt; t.0 OR ( t.0 Is Null AND s.0 Is Not Null) OR ( t.0 Is not Null AND s.0 Is  Null))</v>
      </c>
      <c r="H129" s="9" t="str">
        <f t="shared" si="19"/>
        <v>, t.0 = s.0</v>
      </c>
    </row>
    <row r="130" spans="2:8" x14ac:dyDescent="0.25">
      <c r="B130" s="9">
        <f>'Column Definition'!F136</f>
        <v>0</v>
      </c>
      <c r="C130" s="14" t="str">
        <f>_xlfn.SWITCH(Table4[[#This Row],[Column1]],"int", 0, "Smallint", 0, "tinyint", 0, "Bit", 0, "varchar", "'A'", "nvarchar", "'A'", "char", "'A'", "numeric", 0,"decimal", 0, "date", "'01/01/2000'", "datetime", "'01/01/2000'", "")</f>
        <v/>
      </c>
      <c r="D130" s="3">
        <f>'Column Definition'!C136</f>
        <v>0</v>
      </c>
      <c r="E130" s="9" t="str">
        <f t="shared" si="17"/>
        <v>, 0</v>
      </c>
      <c r="F130" s="9" t="str">
        <f t="shared" si="18"/>
        <v>, s.0</v>
      </c>
      <c r="G130" s="3" t="str">
        <f t="shared" si="10"/>
        <v>OR (s.0 &lt;&gt; t.0 OR ( t.0 Is Null AND s.0 Is Not Null) OR ( t.0 Is not Null AND s.0 Is  Null))</v>
      </c>
      <c r="H130" s="9" t="str">
        <f t="shared" si="19"/>
        <v>, t.0 = s.0</v>
      </c>
    </row>
    <row r="131" spans="2:8" x14ac:dyDescent="0.25">
      <c r="B131" s="9">
        <f>'Column Definition'!F137</f>
        <v>0</v>
      </c>
      <c r="C131" s="14" t="str">
        <f>_xlfn.SWITCH(Table4[[#This Row],[Column1]],"int", 0, "Smallint", 0, "tinyint", 0, "Bit", 0, "varchar", "'A'", "nvarchar", "'A'", "char", "'A'", "numeric", 0,"decimal", 0, "date", "'01/01/2000'", "datetime", "'01/01/2000'", "")</f>
        <v/>
      </c>
      <c r="D131" s="3">
        <f>'Column Definition'!C137</f>
        <v>0</v>
      </c>
      <c r="E131" s="9" t="str">
        <f t="shared" si="17"/>
        <v>, 0</v>
      </c>
      <c r="F131" s="9" t="str">
        <f t="shared" si="18"/>
        <v>, s.0</v>
      </c>
      <c r="G131" s="3" t="str">
        <f t="shared" si="10"/>
        <v>OR (s.0 &lt;&gt; t.0 OR ( t.0 Is Null AND s.0 Is Not Null) OR ( t.0 Is not Null AND s.0 Is  Null))</v>
      </c>
      <c r="H131" s="9" t="str">
        <f t="shared" si="19"/>
        <v>, t.0 = s.0</v>
      </c>
    </row>
    <row r="132" spans="2:8" x14ac:dyDescent="0.25">
      <c r="B132" s="9">
        <f>'Column Definition'!F138</f>
        <v>0</v>
      </c>
      <c r="C132" s="14" t="str">
        <f>_xlfn.SWITCH(Table4[[#This Row],[Column1]],"int", 0, "Smallint", 0, "tinyint", 0, "Bit", 0, "varchar", "'A'", "nvarchar", "'A'", "char", "'A'", "numeric", 0,"decimal", 0, "date", "'01/01/2000'", "datetime", "'01/01/2000'", "")</f>
        <v/>
      </c>
      <c r="D132" s="3">
        <f>'Column Definition'!C138</f>
        <v>0</v>
      </c>
      <c r="E132" s="9" t="str">
        <f t="shared" si="17"/>
        <v>, 0</v>
      </c>
      <c r="F132" s="9" t="str">
        <f t="shared" si="18"/>
        <v>, s.0</v>
      </c>
      <c r="G132" s="3" t="str">
        <f t="shared" ref="G132:G195" si="20">"OR (s."&amp;D132&amp;" &lt;&gt; t." &amp; D132 &amp; " OR ( t." &amp; D132  &amp; " Is Null AND s." &amp;D132 &amp; " Is Not Null) OR ( t." &amp; D132  &amp; " Is not Null AND s." &amp;D132 &amp; " Is  Null))"</f>
        <v>OR (s.0 &lt;&gt; t.0 OR ( t.0 Is Null AND s.0 Is Not Null) OR ( t.0 Is not Null AND s.0 Is  Null))</v>
      </c>
      <c r="H132" s="9" t="str">
        <f t="shared" si="19"/>
        <v>, t.0 = s.0</v>
      </c>
    </row>
    <row r="133" spans="2:8" x14ac:dyDescent="0.25">
      <c r="B133" s="9">
        <f>'Column Definition'!F139</f>
        <v>0</v>
      </c>
      <c r="C133" s="14" t="str">
        <f>_xlfn.SWITCH(Table4[[#This Row],[Column1]],"int", 0, "Smallint", 0, "tinyint", 0, "Bit", 0, "varchar", "'A'", "nvarchar", "'A'", "char", "'A'", "numeric", 0,"decimal", 0, "date", "'01/01/2000'", "datetime", "'01/01/2000'", "")</f>
        <v/>
      </c>
      <c r="D133" s="3">
        <f>'Column Definition'!C139</f>
        <v>0</v>
      </c>
      <c r="E133" s="9" t="str">
        <f t="shared" si="17"/>
        <v>, 0</v>
      </c>
      <c r="F133" s="9" t="str">
        <f t="shared" si="18"/>
        <v>, s.0</v>
      </c>
      <c r="G133" s="3" t="str">
        <f t="shared" si="20"/>
        <v>OR (s.0 &lt;&gt; t.0 OR ( t.0 Is Null AND s.0 Is Not Null) OR ( t.0 Is not Null AND s.0 Is  Null))</v>
      </c>
      <c r="H133" s="9" t="str">
        <f t="shared" si="19"/>
        <v>, t.0 = s.0</v>
      </c>
    </row>
    <row r="134" spans="2:8" x14ac:dyDescent="0.25">
      <c r="B134" s="9">
        <f>'Column Definition'!F140</f>
        <v>0</v>
      </c>
      <c r="C134" s="14" t="str">
        <f>_xlfn.SWITCH(Table4[[#This Row],[Column1]],"int", 0, "Smallint", 0, "tinyint", 0, "Bit", 0, "varchar", "'A'", "nvarchar", "'A'", "char", "'A'", "numeric", 0,"decimal", 0, "date", "'01/01/2000'", "datetime", "'01/01/2000'", "")</f>
        <v/>
      </c>
      <c r="D134" s="3">
        <f>'Column Definition'!C140</f>
        <v>0</v>
      </c>
      <c r="E134" s="9" t="str">
        <f t="shared" si="17"/>
        <v>, 0</v>
      </c>
      <c r="F134" s="9" t="str">
        <f t="shared" si="18"/>
        <v>, s.0</v>
      </c>
      <c r="G134" s="3" t="str">
        <f t="shared" si="20"/>
        <v>OR (s.0 &lt;&gt; t.0 OR ( t.0 Is Null AND s.0 Is Not Null) OR ( t.0 Is not Null AND s.0 Is  Null))</v>
      </c>
      <c r="H134" s="9" t="str">
        <f t="shared" si="19"/>
        <v>, t.0 = s.0</v>
      </c>
    </row>
    <row r="135" spans="2:8" x14ac:dyDescent="0.25">
      <c r="B135" s="9">
        <f>'Column Definition'!F141</f>
        <v>0</v>
      </c>
      <c r="C135" s="14" t="str">
        <f>_xlfn.SWITCH(Table4[[#This Row],[Column1]],"int", 0, "Smallint", 0, "tinyint", 0, "Bit", 0, "varchar", "'A'", "nvarchar", "'A'", "char", "'A'", "numeric", 0,"decimal", 0, "date", "'01/01/2000'", "datetime", "'01/01/2000'", "")</f>
        <v/>
      </c>
      <c r="D135" s="3">
        <f>'Column Definition'!C141</f>
        <v>0</v>
      </c>
      <c r="E135" s="9" t="str">
        <f t="shared" si="17"/>
        <v>, 0</v>
      </c>
      <c r="F135" s="9" t="str">
        <f t="shared" si="18"/>
        <v>, s.0</v>
      </c>
      <c r="G135" s="3" t="str">
        <f t="shared" si="20"/>
        <v>OR (s.0 &lt;&gt; t.0 OR ( t.0 Is Null AND s.0 Is Not Null) OR ( t.0 Is not Null AND s.0 Is  Null))</v>
      </c>
      <c r="H135" s="9" t="str">
        <f t="shared" si="19"/>
        <v>, t.0 = s.0</v>
      </c>
    </row>
    <row r="136" spans="2:8" x14ac:dyDescent="0.25">
      <c r="B136" s="9">
        <f>'Column Definition'!F142</f>
        <v>0</v>
      </c>
      <c r="C136" s="14" t="str">
        <f>_xlfn.SWITCH(Table4[[#This Row],[Column1]],"int", 0, "Smallint", 0, "tinyint", 0, "Bit", 0, "varchar", "'A'", "nvarchar", "'A'", "char", "'A'", "numeric", 0,"decimal", 0, "date", "'01/01/2000'", "datetime", "'01/01/2000'", "")</f>
        <v/>
      </c>
      <c r="D136" s="3">
        <f>'Column Definition'!C142</f>
        <v>0</v>
      </c>
      <c r="E136" s="9" t="str">
        <f t="shared" si="17"/>
        <v>, 0</v>
      </c>
      <c r="F136" s="9" t="str">
        <f t="shared" si="18"/>
        <v>, s.0</v>
      </c>
      <c r="G136" s="3" t="str">
        <f t="shared" si="20"/>
        <v>OR (s.0 &lt;&gt; t.0 OR ( t.0 Is Null AND s.0 Is Not Null) OR ( t.0 Is not Null AND s.0 Is  Null))</v>
      </c>
      <c r="H136" s="9" t="str">
        <f t="shared" si="19"/>
        <v>, t.0 = s.0</v>
      </c>
    </row>
    <row r="137" spans="2:8" x14ac:dyDescent="0.25">
      <c r="B137" s="9">
        <f>'Column Definition'!F143</f>
        <v>0</v>
      </c>
      <c r="C137" s="14" t="str">
        <f>_xlfn.SWITCH(Table4[[#This Row],[Column1]],"int", 0, "Smallint", 0, "tinyint", 0, "Bit", 0, "varchar", "'A'", "nvarchar", "'A'", "char", "'A'", "numeric", 0,"decimal", 0, "date", "'01/01/2000'", "datetime", "'01/01/2000'", "")</f>
        <v/>
      </c>
      <c r="D137" s="3">
        <f>'Column Definition'!C143</f>
        <v>0</v>
      </c>
      <c r="E137" s="9" t="str">
        <f t="shared" si="17"/>
        <v>, 0</v>
      </c>
      <c r="F137" s="9" t="str">
        <f t="shared" si="18"/>
        <v>, s.0</v>
      </c>
      <c r="G137" s="3" t="str">
        <f t="shared" si="20"/>
        <v>OR (s.0 &lt;&gt; t.0 OR ( t.0 Is Null AND s.0 Is Not Null) OR ( t.0 Is not Null AND s.0 Is  Null))</v>
      </c>
      <c r="H137" s="9" t="str">
        <f t="shared" si="19"/>
        <v>, t.0 = s.0</v>
      </c>
    </row>
    <row r="138" spans="2:8" x14ac:dyDescent="0.25">
      <c r="B138" s="9">
        <f>'Column Definition'!F144</f>
        <v>0</v>
      </c>
      <c r="C138" s="14" t="str">
        <f>_xlfn.SWITCH(Table4[[#This Row],[Column1]],"int", 0, "Smallint", 0, "tinyint", 0, "Bit", 0, "varchar", "'A'", "nvarchar", "'A'", "char", "'A'", "numeric", 0,"decimal", 0, "date", "'01/01/2000'", "datetime", "'01/01/2000'", "")</f>
        <v/>
      </c>
      <c r="D138" s="3">
        <f>'Column Definition'!C144</f>
        <v>0</v>
      </c>
      <c r="E138" s="9" t="str">
        <f t="shared" si="17"/>
        <v>, 0</v>
      </c>
      <c r="F138" s="9" t="str">
        <f t="shared" si="18"/>
        <v>, s.0</v>
      </c>
      <c r="G138" s="3" t="str">
        <f t="shared" si="20"/>
        <v>OR (s.0 &lt;&gt; t.0 OR ( t.0 Is Null AND s.0 Is Not Null) OR ( t.0 Is not Null AND s.0 Is  Null))</v>
      </c>
      <c r="H138" s="9" t="str">
        <f t="shared" si="19"/>
        <v>, t.0 = s.0</v>
      </c>
    </row>
    <row r="139" spans="2:8" x14ac:dyDescent="0.25">
      <c r="B139" s="9">
        <f>'Column Definition'!F145</f>
        <v>0</v>
      </c>
      <c r="C139" s="14" t="str">
        <f>_xlfn.SWITCH(Table4[[#This Row],[Column1]],"int", 0, "Smallint", 0, "tinyint", 0, "Bit", 0, "varchar", "'A'", "nvarchar", "'A'", "char", "'A'", "numeric", 0,"decimal", 0, "date", "'01/01/2000'", "datetime", "'01/01/2000'", "")</f>
        <v/>
      </c>
      <c r="D139" s="3">
        <f>'Column Definition'!C145</f>
        <v>0</v>
      </c>
      <c r="E139" s="9" t="str">
        <f t="shared" si="17"/>
        <v>, 0</v>
      </c>
      <c r="F139" s="9" t="str">
        <f t="shared" si="18"/>
        <v>, s.0</v>
      </c>
      <c r="G139" s="3" t="str">
        <f t="shared" si="20"/>
        <v>OR (s.0 &lt;&gt; t.0 OR ( t.0 Is Null AND s.0 Is Not Null) OR ( t.0 Is not Null AND s.0 Is  Null))</v>
      </c>
      <c r="H139" s="9" t="str">
        <f t="shared" si="19"/>
        <v>, t.0 = s.0</v>
      </c>
    </row>
    <row r="140" spans="2:8" x14ac:dyDescent="0.25">
      <c r="B140" s="9">
        <f>'Column Definition'!F146</f>
        <v>0</v>
      </c>
      <c r="C140" s="14" t="str">
        <f>_xlfn.SWITCH(Table4[[#This Row],[Column1]],"int", 0, "Smallint", 0, "tinyint", 0, "Bit", 0, "varchar", "'A'", "nvarchar", "'A'", "char", "'A'", "numeric", 0,"decimal", 0, "date", "'01/01/2000'", "datetime", "'01/01/2000'", "")</f>
        <v/>
      </c>
      <c r="D140" s="3">
        <f>'Column Definition'!C146</f>
        <v>0</v>
      </c>
      <c r="E140" s="9" t="str">
        <f t="shared" si="17"/>
        <v>, 0</v>
      </c>
      <c r="F140" s="9" t="str">
        <f t="shared" si="18"/>
        <v>, s.0</v>
      </c>
      <c r="G140" s="3" t="str">
        <f t="shared" si="20"/>
        <v>OR (s.0 &lt;&gt; t.0 OR ( t.0 Is Null AND s.0 Is Not Null) OR ( t.0 Is not Null AND s.0 Is  Null))</v>
      </c>
      <c r="H140" s="9" t="str">
        <f t="shared" si="19"/>
        <v>, t.0 = s.0</v>
      </c>
    </row>
    <row r="141" spans="2:8" x14ac:dyDescent="0.25">
      <c r="B141" s="9">
        <f>'Column Definition'!F147</f>
        <v>0</v>
      </c>
      <c r="C141" s="14" t="str">
        <f>_xlfn.SWITCH(Table4[[#This Row],[Column1]],"int", 0, "Smallint", 0, "tinyint", 0, "Bit", 0, "varchar", "'A'", "nvarchar", "'A'", "char", "'A'", "numeric", 0,"decimal", 0, "date", "'01/01/2000'", "datetime", "'01/01/2000'", "")</f>
        <v/>
      </c>
      <c r="D141" s="3">
        <f>'Column Definition'!C147</f>
        <v>0</v>
      </c>
      <c r="E141" s="9" t="str">
        <f t="shared" si="17"/>
        <v>, 0</v>
      </c>
      <c r="F141" s="9" t="str">
        <f t="shared" si="18"/>
        <v>, s.0</v>
      </c>
      <c r="G141" s="3" t="str">
        <f t="shared" si="20"/>
        <v>OR (s.0 &lt;&gt; t.0 OR ( t.0 Is Null AND s.0 Is Not Null) OR ( t.0 Is not Null AND s.0 Is  Null))</v>
      </c>
      <c r="H141" s="9" t="str">
        <f t="shared" si="19"/>
        <v>, t.0 = s.0</v>
      </c>
    </row>
    <row r="142" spans="2:8" x14ac:dyDescent="0.25">
      <c r="B142" s="9">
        <f>'Column Definition'!F148</f>
        <v>0</v>
      </c>
      <c r="C142" s="14" t="str">
        <f>_xlfn.SWITCH(Table4[[#This Row],[Column1]],"int", 0, "Smallint", 0, "tinyint", 0, "Bit", 0, "varchar", "'A'", "nvarchar", "'A'", "char", "'A'", "numeric", 0,"decimal", 0, "date", "'01/01/2000'", "datetime", "'01/01/2000'", "")</f>
        <v/>
      </c>
      <c r="D142" s="3">
        <f>'Column Definition'!C148</f>
        <v>0</v>
      </c>
      <c r="E142" s="9" t="str">
        <f t="shared" si="17"/>
        <v>, 0</v>
      </c>
      <c r="F142" s="9" t="str">
        <f t="shared" si="18"/>
        <v>, s.0</v>
      </c>
      <c r="G142" s="3" t="str">
        <f t="shared" si="20"/>
        <v>OR (s.0 &lt;&gt; t.0 OR ( t.0 Is Null AND s.0 Is Not Null) OR ( t.0 Is not Null AND s.0 Is  Null))</v>
      </c>
      <c r="H142" s="9" t="str">
        <f t="shared" si="19"/>
        <v>, t.0 = s.0</v>
      </c>
    </row>
    <row r="143" spans="2:8" x14ac:dyDescent="0.25">
      <c r="B143" s="9">
        <f>'Column Definition'!F149</f>
        <v>0</v>
      </c>
      <c r="C143" s="14" t="str">
        <f>_xlfn.SWITCH(Table4[[#This Row],[Column1]],"int", 0, "Smallint", 0, "tinyint", 0, "Bit", 0, "varchar", "'A'", "nvarchar", "'A'", "char", "'A'", "numeric", 0,"decimal", 0, "date", "'01/01/2000'", "datetime", "'01/01/2000'", "")</f>
        <v/>
      </c>
      <c r="D143" s="3">
        <f>'Column Definition'!C149</f>
        <v>0</v>
      </c>
      <c r="E143" s="9" t="str">
        <f t="shared" si="17"/>
        <v>, 0</v>
      </c>
      <c r="F143" s="9" t="str">
        <f t="shared" si="18"/>
        <v>, s.0</v>
      </c>
      <c r="G143" s="3" t="str">
        <f t="shared" si="20"/>
        <v>OR (s.0 &lt;&gt; t.0 OR ( t.0 Is Null AND s.0 Is Not Null) OR ( t.0 Is not Null AND s.0 Is  Null))</v>
      </c>
      <c r="H143" s="9" t="str">
        <f t="shared" si="19"/>
        <v>, t.0 = s.0</v>
      </c>
    </row>
    <row r="144" spans="2:8" x14ac:dyDescent="0.25">
      <c r="B144" s="9">
        <f>'Column Definition'!F150</f>
        <v>0</v>
      </c>
      <c r="C144" s="14" t="str">
        <f>_xlfn.SWITCH(Table4[[#This Row],[Column1]],"int", 0, "Smallint", 0, "tinyint", 0, "Bit", 0, "varchar", "'A'", "nvarchar", "'A'", "char", "'A'", "numeric", 0,"decimal", 0, "date", "'01/01/2000'", "datetime", "'01/01/2000'", "")</f>
        <v/>
      </c>
      <c r="D144" s="3">
        <f>'Column Definition'!C150</f>
        <v>0</v>
      </c>
      <c r="E144" s="9" t="str">
        <f t="shared" si="17"/>
        <v>, 0</v>
      </c>
      <c r="F144" s="9" t="str">
        <f t="shared" si="18"/>
        <v>, s.0</v>
      </c>
      <c r="G144" s="3" t="str">
        <f t="shared" si="20"/>
        <v>OR (s.0 &lt;&gt; t.0 OR ( t.0 Is Null AND s.0 Is Not Null) OR ( t.0 Is not Null AND s.0 Is  Null))</v>
      </c>
      <c r="H144" s="9" t="str">
        <f t="shared" si="19"/>
        <v>, t.0 = s.0</v>
      </c>
    </row>
    <row r="145" spans="2:8" x14ac:dyDescent="0.25">
      <c r="B145" s="9">
        <f>'Column Definition'!F151</f>
        <v>0</v>
      </c>
      <c r="C145" s="14" t="str">
        <f>_xlfn.SWITCH(Table4[[#This Row],[Column1]],"int", 0, "Smallint", 0, "tinyint", 0, "Bit", 0, "varchar", "'A'", "nvarchar", "'A'", "char", "'A'", "numeric", 0,"decimal", 0, "date", "'01/01/2000'", "datetime", "'01/01/2000'", "")</f>
        <v/>
      </c>
      <c r="D145" s="3">
        <f>'Column Definition'!C151</f>
        <v>0</v>
      </c>
      <c r="E145" s="9" t="str">
        <f t="shared" si="17"/>
        <v>, 0</v>
      </c>
      <c r="F145" s="9" t="str">
        <f t="shared" si="18"/>
        <v>, s.0</v>
      </c>
      <c r="G145" s="3" t="str">
        <f t="shared" si="20"/>
        <v>OR (s.0 &lt;&gt; t.0 OR ( t.0 Is Null AND s.0 Is Not Null) OR ( t.0 Is not Null AND s.0 Is  Null))</v>
      </c>
      <c r="H145" s="9" t="str">
        <f t="shared" si="19"/>
        <v>, t.0 = s.0</v>
      </c>
    </row>
    <row r="146" spans="2:8" x14ac:dyDescent="0.25">
      <c r="B146" s="9">
        <f>'Column Definition'!F152</f>
        <v>0</v>
      </c>
      <c r="C146" s="14" t="str">
        <f>_xlfn.SWITCH(Table4[[#This Row],[Column1]],"int", 0, "Smallint", 0, "tinyint", 0, "Bit", 0, "varchar", "'A'", "nvarchar", "'A'", "char", "'A'", "numeric", 0,"decimal", 0, "date", "'01/01/2000'", "datetime", "'01/01/2000'", "")</f>
        <v/>
      </c>
      <c r="D146" s="3">
        <f>'Column Definition'!C152</f>
        <v>0</v>
      </c>
      <c r="E146" s="9" t="str">
        <f t="shared" si="17"/>
        <v>, 0</v>
      </c>
      <c r="F146" s="9" t="str">
        <f t="shared" si="18"/>
        <v>, s.0</v>
      </c>
      <c r="G146" s="3" t="str">
        <f t="shared" si="20"/>
        <v>OR (s.0 &lt;&gt; t.0 OR ( t.0 Is Null AND s.0 Is Not Null) OR ( t.0 Is not Null AND s.0 Is  Null))</v>
      </c>
      <c r="H146" s="9" t="str">
        <f t="shared" si="19"/>
        <v>, t.0 = s.0</v>
      </c>
    </row>
    <row r="147" spans="2:8" x14ac:dyDescent="0.25">
      <c r="B147" s="9">
        <f>'Column Definition'!F153</f>
        <v>0</v>
      </c>
      <c r="C147" s="14" t="str">
        <f>_xlfn.SWITCH(Table4[[#This Row],[Column1]],"int", 0, "Smallint", 0, "tinyint", 0, "Bit", 0, "varchar", "'A'", "nvarchar", "'A'", "char", "'A'", "numeric", 0,"decimal", 0, "date", "'01/01/2000'", "datetime", "'01/01/2000'", "")</f>
        <v/>
      </c>
      <c r="D147" s="3">
        <f>'Column Definition'!C153</f>
        <v>0</v>
      </c>
      <c r="E147" s="9" t="str">
        <f t="shared" si="17"/>
        <v>, 0</v>
      </c>
      <c r="F147" s="9" t="str">
        <f t="shared" si="18"/>
        <v>, s.0</v>
      </c>
      <c r="G147" s="3" t="str">
        <f t="shared" si="20"/>
        <v>OR (s.0 &lt;&gt; t.0 OR ( t.0 Is Null AND s.0 Is Not Null) OR ( t.0 Is not Null AND s.0 Is  Null))</v>
      </c>
      <c r="H147" s="9" t="str">
        <f t="shared" si="19"/>
        <v>, t.0 = s.0</v>
      </c>
    </row>
    <row r="148" spans="2:8" x14ac:dyDescent="0.25">
      <c r="B148" s="9">
        <f>'Column Definition'!F154</f>
        <v>0</v>
      </c>
      <c r="C148" s="14" t="str">
        <f>_xlfn.SWITCH(Table4[[#This Row],[Column1]],"int", 0, "Smallint", 0, "tinyint", 0, "Bit", 0, "varchar", "'A'", "nvarchar", "'A'", "char", "'A'", "numeric", 0,"decimal", 0, "date", "'01/01/2000'", "datetime", "'01/01/2000'", "")</f>
        <v/>
      </c>
      <c r="D148" s="3">
        <f>'Column Definition'!C154</f>
        <v>0</v>
      </c>
      <c r="E148" s="9" t="str">
        <f t="shared" si="17"/>
        <v>, 0</v>
      </c>
      <c r="F148" s="9" t="str">
        <f t="shared" si="18"/>
        <v>, s.0</v>
      </c>
      <c r="G148" s="3" t="str">
        <f t="shared" si="20"/>
        <v>OR (s.0 &lt;&gt; t.0 OR ( t.0 Is Null AND s.0 Is Not Null) OR ( t.0 Is not Null AND s.0 Is  Null))</v>
      </c>
      <c r="H148" s="9" t="str">
        <f t="shared" si="19"/>
        <v>, t.0 = s.0</v>
      </c>
    </row>
    <row r="149" spans="2:8" x14ac:dyDescent="0.25">
      <c r="B149" s="9">
        <f>'Column Definition'!F155</f>
        <v>0</v>
      </c>
      <c r="C149" s="14" t="str">
        <f>_xlfn.SWITCH(Table4[[#This Row],[Column1]],"int", 0, "Smallint", 0, "tinyint", 0, "Bit", 0, "varchar", "'A'", "nvarchar", "'A'", "char", "'A'", "numeric", 0,"decimal", 0, "date", "'01/01/2000'", "datetime", "'01/01/2000'", "")</f>
        <v/>
      </c>
      <c r="D149" s="3">
        <f>'Column Definition'!C155</f>
        <v>0</v>
      </c>
      <c r="E149" s="9" t="str">
        <f t="shared" si="17"/>
        <v>, 0</v>
      </c>
      <c r="F149" s="9" t="str">
        <f t="shared" si="18"/>
        <v>, s.0</v>
      </c>
      <c r="G149" s="3" t="str">
        <f t="shared" si="20"/>
        <v>OR (s.0 &lt;&gt; t.0 OR ( t.0 Is Null AND s.0 Is Not Null) OR ( t.0 Is not Null AND s.0 Is  Null))</v>
      </c>
      <c r="H149" s="9" t="str">
        <f t="shared" si="19"/>
        <v>, t.0 = s.0</v>
      </c>
    </row>
    <row r="150" spans="2:8" x14ac:dyDescent="0.25">
      <c r="B150" s="9">
        <f>'Column Definition'!F156</f>
        <v>0</v>
      </c>
      <c r="C150" s="14" t="str">
        <f>_xlfn.SWITCH(Table4[[#This Row],[Column1]],"int", 0, "Smallint", 0, "tinyint", 0, "Bit", 0, "varchar", "'A'", "nvarchar", "'A'", "char", "'A'", "numeric", 0,"decimal", 0, "date", "'01/01/2000'", "datetime", "'01/01/2000'", "")</f>
        <v/>
      </c>
      <c r="D150" s="3">
        <f>'Column Definition'!C156</f>
        <v>0</v>
      </c>
      <c r="E150" s="9" t="str">
        <f t="shared" si="17"/>
        <v>, 0</v>
      </c>
      <c r="F150" s="9" t="str">
        <f t="shared" si="18"/>
        <v>, s.0</v>
      </c>
      <c r="G150" s="3" t="str">
        <f t="shared" si="20"/>
        <v>OR (s.0 &lt;&gt; t.0 OR ( t.0 Is Null AND s.0 Is Not Null) OR ( t.0 Is not Null AND s.0 Is  Null))</v>
      </c>
      <c r="H150" s="9" t="str">
        <f t="shared" si="19"/>
        <v>, t.0 = s.0</v>
      </c>
    </row>
    <row r="151" spans="2:8" x14ac:dyDescent="0.25">
      <c r="B151" s="9">
        <f>'Column Definition'!F157</f>
        <v>0</v>
      </c>
      <c r="C151" s="14" t="str">
        <f>_xlfn.SWITCH(Table4[[#This Row],[Column1]],"int", 0, "Smallint", 0, "tinyint", 0, "Bit", 0, "varchar", "'A'", "nvarchar", "'A'", "char", "'A'", "numeric", 0,"decimal", 0, "date", "'01/01/2000'", "datetime", "'01/01/2000'", "")</f>
        <v/>
      </c>
      <c r="D151" s="3">
        <f>'Column Definition'!C157</f>
        <v>0</v>
      </c>
      <c r="E151" s="9" t="str">
        <f t="shared" si="17"/>
        <v>, 0</v>
      </c>
      <c r="F151" s="9" t="str">
        <f t="shared" si="18"/>
        <v>, s.0</v>
      </c>
      <c r="G151" s="3" t="str">
        <f t="shared" si="20"/>
        <v>OR (s.0 &lt;&gt; t.0 OR ( t.0 Is Null AND s.0 Is Not Null) OR ( t.0 Is not Null AND s.0 Is  Null))</v>
      </c>
      <c r="H151" s="9" t="str">
        <f t="shared" si="19"/>
        <v>, t.0 = s.0</v>
      </c>
    </row>
    <row r="152" spans="2:8" x14ac:dyDescent="0.25">
      <c r="B152" s="9">
        <f>'Column Definition'!F158</f>
        <v>0</v>
      </c>
      <c r="C152" s="14" t="str">
        <f>_xlfn.SWITCH(Table4[[#This Row],[Column1]],"int", 0, "Smallint", 0, "tinyint", 0, "Bit", 0, "varchar", "'A'", "nvarchar", "'A'", "char", "'A'", "numeric", 0,"decimal", 0, "date", "'01/01/2000'", "datetime", "'01/01/2000'", "")</f>
        <v/>
      </c>
      <c r="D152" s="3">
        <f>'Column Definition'!C158</f>
        <v>0</v>
      </c>
      <c r="E152" s="9" t="str">
        <f t="shared" ref="E152:E183" si="21">", "&amp;D152</f>
        <v>, 0</v>
      </c>
      <c r="F152" s="9" t="str">
        <f t="shared" ref="F152:F183" si="22">", s."&amp;D152</f>
        <v>, s.0</v>
      </c>
      <c r="G152" s="3" t="str">
        <f t="shared" si="20"/>
        <v>OR (s.0 &lt;&gt; t.0 OR ( t.0 Is Null AND s.0 Is Not Null) OR ( t.0 Is not Null AND s.0 Is  Null))</v>
      </c>
      <c r="H152" s="9" t="str">
        <f t="shared" ref="H152:H183" si="23">", t."&amp; D152  &amp; " = s." &amp; D152</f>
        <v>, t.0 = s.0</v>
      </c>
    </row>
    <row r="153" spans="2:8" x14ac:dyDescent="0.25">
      <c r="B153" s="9">
        <f>'Column Definition'!F159</f>
        <v>0</v>
      </c>
      <c r="C153" s="14" t="str">
        <f>_xlfn.SWITCH(Table4[[#This Row],[Column1]],"int", 0, "Smallint", 0, "tinyint", 0, "Bit", 0, "varchar", "'A'", "nvarchar", "'A'", "char", "'A'", "numeric", 0,"decimal", 0, "date", "'01/01/2000'", "datetime", "'01/01/2000'", "")</f>
        <v/>
      </c>
      <c r="D153" s="3">
        <f>'Column Definition'!C159</f>
        <v>0</v>
      </c>
      <c r="E153" s="9" t="str">
        <f t="shared" si="21"/>
        <v>, 0</v>
      </c>
      <c r="F153" s="9" t="str">
        <f t="shared" si="22"/>
        <v>, s.0</v>
      </c>
      <c r="G153" s="3" t="str">
        <f t="shared" si="20"/>
        <v>OR (s.0 &lt;&gt; t.0 OR ( t.0 Is Null AND s.0 Is Not Null) OR ( t.0 Is not Null AND s.0 Is  Null))</v>
      </c>
      <c r="H153" s="9" t="str">
        <f t="shared" si="23"/>
        <v>, t.0 = s.0</v>
      </c>
    </row>
    <row r="154" spans="2:8" x14ac:dyDescent="0.25">
      <c r="B154" s="9">
        <f>'Column Definition'!F160</f>
        <v>0</v>
      </c>
      <c r="C154" s="14" t="str">
        <f>_xlfn.SWITCH(Table4[[#This Row],[Column1]],"int", 0, "Smallint", 0, "tinyint", 0, "Bit", 0, "varchar", "'A'", "nvarchar", "'A'", "char", "'A'", "numeric", 0,"decimal", 0, "date", "'01/01/2000'", "datetime", "'01/01/2000'", "")</f>
        <v/>
      </c>
      <c r="D154" s="3">
        <f>'Column Definition'!C160</f>
        <v>0</v>
      </c>
      <c r="E154" s="9" t="str">
        <f t="shared" si="21"/>
        <v>, 0</v>
      </c>
      <c r="F154" s="9" t="str">
        <f t="shared" si="22"/>
        <v>, s.0</v>
      </c>
      <c r="G154" s="3" t="str">
        <f t="shared" si="20"/>
        <v>OR (s.0 &lt;&gt; t.0 OR ( t.0 Is Null AND s.0 Is Not Null) OR ( t.0 Is not Null AND s.0 Is  Null))</v>
      </c>
      <c r="H154" s="9" t="str">
        <f t="shared" si="23"/>
        <v>, t.0 = s.0</v>
      </c>
    </row>
    <row r="155" spans="2:8" x14ac:dyDescent="0.25">
      <c r="B155" s="9">
        <f>'Column Definition'!F161</f>
        <v>0</v>
      </c>
      <c r="C155" s="14" t="str">
        <f>_xlfn.SWITCH(Table4[[#This Row],[Column1]],"int", 0, "Smallint", 0, "tinyint", 0, "Bit", 0, "varchar", "'A'", "nvarchar", "'A'", "char", "'A'", "numeric", 0,"decimal", 0, "date", "'01/01/2000'", "datetime", "'01/01/2000'", "")</f>
        <v/>
      </c>
      <c r="D155" s="3">
        <f>'Column Definition'!C161</f>
        <v>0</v>
      </c>
      <c r="E155" s="9" t="str">
        <f t="shared" si="21"/>
        <v>, 0</v>
      </c>
      <c r="F155" s="9" t="str">
        <f t="shared" si="22"/>
        <v>, s.0</v>
      </c>
      <c r="G155" s="3" t="str">
        <f t="shared" si="20"/>
        <v>OR (s.0 &lt;&gt; t.0 OR ( t.0 Is Null AND s.0 Is Not Null) OR ( t.0 Is not Null AND s.0 Is  Null))</v>
      </c>
      <c r="H155" s="9" t="str">
        <f t="shared" si="23"/>
        <v>, t.0 = s.0</v>
      </c>
    </row>
    <row r="156" spans="2:8" x14ac:dyDescent="0.25">
      <c r="B156" s="9">
        <f>'Column Definition'!F162</f>
        <v>0</v>
      </c>
      <c r="C156" s="14" t="str">
        <f>_xlfn.SWITCH(Table4[[#This Row],[Column1]],"int", 0, "Smallint", 0, "tinyint", 0, "Bit", 0, "varchar", "'A'", "nvarchar", "'A'", "char", "'A'", "numeric", 0,"decimal", 0, "date", "'01/01/2000'", "datetime", "'01/01/2000'", "")</f>
        <v/>
      </c>
      <c r="D156" s="3">
        <f>'Column Definition'!C162</f>
        <v>0</v>
      </c>
      <c r="E156" s="9" t="str">
        <f t="shared" si="21"/>
        <v>, 0</v>
      </c>
      <c r="F156" s="9" t="str">
        <f t="shared" si="22"/>
        <v>, s.0</v>
      </c>
      <c r="G156" s="3" t="str">
        <f t="shared" si="20"/>
        <v>OR (s.0 &lt;&gt; t.0 OR ( t.0 Is Null AND s.0 Is Not Null) OR ( t.0 Is not Null AND s.0 Is  Null))</v>
      </c>
      <c r="H156" s="9" t="str">
        <f t="shared" si="23"/>
        <v>, t.0 = s.0</v>
      </c>
    </row>
    <row r="157" spans="2:8" x14ac:dyDescent="0.25">
      <c r="B157" s="9">
        <f>'Column Definition'!F163</f>
        <v>0</v>
      </c>
      <c r="C157" s="14" t="str">
        <f>_xlfn.SWITCH(Table4[[#This Row],[Column1]],"int", 0, "Smallint", 0, "tinyint", 0, "Bit", 0, "varchar", "'A'", "nvarchar", "'A'", "char", "'A'", "numeric", 0,"decimal", 0, "date", "'01/01/2000'", "datetime", "'01/01/2000'", "")</f>
        <v/>
      </c>
      <c r="D157" s="3">
        <f>'Column Definition'!C163</f>
        <v>0</v>
      </c>
      <c r="E157" s="9" t="str">
        <f t="shared" si="21"/>
        <v>, 0</v>
      </c>
      <c r="F157" s="9" t="str">
        <f t="shared" si="22"/>
        <v>, s.0</v>
      </c>
      <c r="G157" s="3" t="str">
        <f t="shared" si="20"/>
        <v>OR (s.0 &lt;&gt; t.0 OR ( t.0 Is Null AND s.0 Is Not Null) OR ( t.0 Is not Null AND s.0 Is  Null))</v>
      </c>
      <c r="H157" s="9" t="str">
        <f t="shared" si="23"/>
        <v>, t.0 = s.0</v>
      </c>
    </row>
    <row r="158" spans="2:8" x14ac:dyDescent="0.25">
      <c r="B158" s="9">
        <f>'Column Definition'!F164</f>
        <v>0</v>
      </c>
      <c r="C158" s="14" t="str">
        <f>_xlfn.SWITCH(Table4[[#This Row],[Column1]],"int", 0, "Smallint", 0, "tinyint", 0, "Bit", 0, "varchar", "'A'", "nvarchar", "'A'", "char", "'A'", "numeric", 0,"decimal", 0, "date", "'01/01/2000'", "datetime", "'01/01/2000'", "")</f>
        <v/>
      </c>
      <c r="D158" s="3">
        <f>'Column Definition'!C164</f>
        <v>0</v>
      </c>
      <c r="E158" s="9" t="str">
        <f t="shared" si="21"/>
        <v>, 0</v>
      </c>
      <c r="F158" s="9" t="str">
        <f t="shared" si="22"/>
        <v>, s.0</v>
      </c>
      <c r="G158" s="3" t="str">
        <f t="shared" si="20"/>
        <v>OR (s.0 &lt;&gt; t.0 OR ( t.0 Is Null AND s.0 Is Not Null) OR ( t.0 Is not Null AND s.0 Is  Null))</v>
      </c>
      <c r="H158" s="9" t="str">
        <f t="shared" si="23"/>
        <v>, t.0 = s.0</v>
      </c>
    </row>
    <row r="159" spans="2:8" x14ac:dyDescent="0.25">
      <c r="B159" s="9">
        <f>'Column Definition'!F165</f>
        <v>0</v>
      </c>
      <c r="C159" s="14" t="str">
        <f>_xlfn.SWITCH(Table4[[#This Row],[Column1]],"int", 0, "Smallint", 0, "tinyint", 0, "Bit", 0, "varchar", "'A'", "nvarchar", "'A'", "char", "'A'", "numeric", 0,"decimal", 0, "date", "'01/01/2000'", "datetime", "'01/01/2000'", "")</f>
        <v/>
      </c>
      <c r="D159" s="3">
        <f>'Column Definition'!C165</f>
        <v>0</v>
      </c>
      <c r="E159" s="9" t="str">
        <f t="shared" si="21"/>
        <v>, 0</v>
      </c>
      <c r="F159" s="9" t="str">
        <f t="shared" si="22"/>
        <v>, s.0</v>
      </c>
      <c r="G159" s="3" t="str">
        <f t="shared" si="20"/>
        <v>OR (s.0 &lt;&gt; t.0 OR ( t.0 Is Null AND s.0 Is Not Null) OR ( t.0 Is not Null AND s.0 Is  Null))</v>
      </c>
      <c r="H159" s="9" t="str">
        <f t="shared" si="23"/>
        <v>, t.0 = s.0</v>
      </c>
    </row>
    <row r="160" spans="2:8" x14ac:dyDescent="0.25">
      <c r="B160" s="9">
        <f>'Column Definition'!F166</f>
        <v>0</v>
      </c>
      <c r="C160" s="14" t="str">
        <f>_xlfn.SWITCH(Table4[[#This Row],[Column1]],"int", 0, "Smallint", 0, "tinyint", 0, "Bit", 0, "varchar", "'A'", "nvarchar", "'A'", "char", "'A'", "numeric", 0,"decimal", 0, "date", "'01/01/2000'", "datetime", "'01/01/2000'", "")</f>
        <v/>
      </c>
      <c r="D160" s="3">
        <f>'Column Definition'!C166</f>
        <v>0</v>
      </c>
      <c r="E160" s="9" t="str">
        <f t="shared" si="21"/>
        <v>, 0</v>
      </c>
      <c r="F160" s="9" t="str">
        <f t="shared" si="22"/>
        <v>, s.0</v>
      </c>
      <c r="G160" s="3" t="str">
        <f t="shared" si="20"/>
        <v>OR (s.0 &lt;&gt; t.0 OR ( t.0 Is Null AND s.0 Is Not Null) OR ( t.0 Is not Null AND s.0 Is  Null))</v>
      </c>
      <c r="H160" s="9" t="str">
        <f t="shared" si="23"/>
        <v>, t.0 = s.0</v>
      </c>
    </row>
    <row r="161" spans="2:8" x14ac:dyDescent="0.25">
      <c r="B161" s="9">
        <f>'Column Definition'!F167</f>
        <v>0</v>
      </c>
      <c r="C161" s="14" t="str">
        <f>_xlfn.SWITCH(Table4[[#This Row],[Column1]],"int", 0, "Smallint", 0, "tinyint", 0, "Bit", 0, "varchar", "'A'", "nvarchar", "'A'", "char", "'A'", "numeric", 0,"decimal", 0, "date", "'01/01/2000'", "datetime", "'01/01/2000'", "")</f>
        <v/>
      </c>
      <c r="D161" s="3">
        <f>'Column Definition'!C167</f>
        <v>0</v>
      </c>
      <c r="E161" s="9" t="str">
        <f t="shared" si="21"/>
        <v>, 0</v>
      </c>
      <c r="F161" s="9" t="str">
        <f t="shared" si="22"/>
        <v>, s.0</v>
      </c>
      <c r="G161" s="3" t="str">
        <f t="shared" si="20"/>
        <v>OR (s.0 &lt;&gt; t.0 OR ( t.0 Is Null AND s.0 Is Not Null) OR ( t.0 Is not Null AND s.0 Is  Null))</v>
      </c>
      <c r="H161" s="9" t="str">
        <f t="shared" si="23"/>
        <v>, t.0 = s.0</v>
      </c>
    </row>
    <row r="162" spans="2:8" x14ac:dyDescent="0.25">
      <c r="B162" s="9">
        <f>'Column Definition'!F168</f>
        <v>0</v>
      </c>
      <c r="C162" s="14" t="str">
        <f>_xlfn.SWITCH(Table4[[#This Row],[Column1]],"int", 0, "Smallint", 0, "tinyint", 0, "Bit", 0, "varchar", "'A'", "nvarchar", "'A'", "char", "'A'", "numeric", 0,"decimal", 0, "date", "'01/01/2000'", "datetime", "'01/01/2000'", "")</f>
        <v/>
      </c>
      <c r="D162" s="3">
        <f>'Column Definition'!C168</f>
        <v>0</v>
      </c>
      <c r="E162" s="9" t="str">
        <f t="shared" si="21"/>
        <v>, 0</v>
      </c>
      <c r="F162" s="9" t="str">
        <f t="shared" si="22"/>
        <v>, s.0</v>
      </c>
      <c r="G162" s="3" t="str">
        <f t="shared" si="20"/>
        <v>OR (s.0 &lt;&gt; t.0 OR ( t.0 Is Null AND s.0 Is Not Null) OR ( t.0 Is not Null AND s.0 Is  Null))</v>
      </c>
      <c r="H162" s="9" t="str">
        <f t="shared" si="23"/>
        <v>, t.0 = s.0</v>
      </c>
    </row>
    <row r="163" spans="2:8" x14ac:dyDescent="0.25">
      <c r="B163" s="9">
        <f>'Column Definition'!F169</f>
        <v>0</v>
      </c>
      <c r="C163" s="14" t="str">
        <f>_xlfn.SWITCH(Table4[[#This Row],[Column1]],"int", 0, "Smallint", 0, "tinyint", 0, "Bit", 0, "varchar", "'A'", "nvarchar", "'A'", "char", "'A'", "numeric", 0,"decimal", 0, "date", "'01/01/2000'", "datetime", "'01/01/2000'", "")</f>
        <v/>
      </c>
      <c r="D163" s="3">
        <f>'Column Definition'!C169</f>
        <v>0</v>
      </c>
      <c r="E163" s="9" t="str">
        <f t="shared" si="21"/>
        <v>, 0</v>
      </c>
      <c r="F163" s="9" t="str">
        <f t="shared" si="22"/>
        <v>, s.0</v>
      </c>
      <c r="G163" s="3" t="str">
        <f t="shared" si="20"/>
        <v>OR (s.0 &lt;&gt; t.0 OR ( t.0 Is Null AND s.0 Is Not Null) OR ( t.0 Is not Null AND s.0 Is  Null))</v>
      </c>
      <c r="H163" s="9" t="str">
        <f t="shared" si="23"/>
        <v>, t.0 = s.0</v>
      </c>
    </row>
    <row r="164" spans="2:8" x14ac:dyDescent="0.25">
      <c r="B164" s="9">
        <f>'Column Definition'!F170</f>
        <v>0</v>
      </c>
      <c r="C164" s="14" t="str">
        <f>_xlfn.SWITCH(Table4[[#This Row],[Column1]],"int", 0, "Smallint", 0, "tinyint", 0, "Bit", 0, "varchar", "'A'", "nvarchar", "'A'", "char", "'A'", "numeric", 0,"decimal", 0, "date", "'01/01/2000'", "datetime", "'01/01/2000'", "")</f>
        <v/>
      </c>
      <c r="D164" s="3">
        <f>'Column Definition'!C170</f>
        <v>0</v>
      </c>
      <c r="E164" s="9" t="str">
        <f t="shared" si="21"/>
        <v>, 0</v>
      </c>
      <c r="F164" s="9" t="str">
        <f t="shared" si="22"/>
        <v>, s.0</v>
      </c>
      <c r="G164" s="3" t="str">
        <f t="shared" si="20"/>
        <v>OR (s.0 &lt;&gt; t.0 OR ( t.0 Is Null AND s.0 Is Not Null) OR ( t.0 Is not Null AND s.0 Is  Null))</v>
      </c>
      <c r="H164" s="9" t="str">
        <f t="shared" si="23"/>
        <v>, t.0 = s.0</v>
      </c>
    </row>
    <row r="165" spans="2:8" x14ac:dyDescent="0.25">
      <c r="B165" s="9">
        <f>'Column Definition'!F171</f>
        <v>0</v>
      </c>
      <c r="C165" s="14" t="str">
        <f>_xlfn.SWITCH(Table4[[#This Row],[Column1]],"int", 0, "Smallint", 0, "tinyint", 0, "Bit", 0, "varchar", "'A'", "nvarchar", "'A'", "char", "'A'", "numeric", 0,"decimal", 0, "date", "'01/01/2000'", "datetime", "'01/01/2000'", "")</f>
        <v/>
      </c>
      <c r="D165" s="3">
        <f>'Column Definition'!C171</f>
        <v>0</v>
      </c>
      <c r="E165" s="9" t="str">
        <f t="shared" si="21"/>
        <v>, 0</v>
      </c>
      <c r="F165" s="9" t="str">
        <f t="shared" si="22"/>
        <v>, s.0</v>
      </c>
      <c r="G165" s="3" t="str">
        <f t="shared" si="20"/>
        <v>OR (s.0 &lt;&gt; t.0 OR ( t.0 Is Null AND s.0 Is Not Null) OR ( t.0 Is not Null AND s.0 Is  Null))</v>
      </c>
      <c r="H165" s="9" t="str">
        <f t="shared" si="23"/>
        <v>, t.0 = s.0</v>
      </c>
    </row>
    <row r="166" spans="2:8" x14ac:dyDescent="0.25">
      <c r="B166" s="9">
        <f>'Column Definition'!F172</f>
        <v>0</v>
      </c>
      <c r="C166" s="14" t="str">
        <f>_xlfn.SWITCH(Table4[[#This Row],[Column1]],"int", 0, "Smallint", 0, "tinyint", 0, "Bit", 0, "varchar", "'A'", "nvarchar", "'A'", "char", "'A'", "numeric", 0,"decimal", 0, "date", "'01/01/2000'", "datetime", "'01/01/2000'", "")</f>
        <v/>
      </c>
      <c r="D166" s="3">
        <f>'Column Definition'!C172</f>
        <v>0</v>
      </c>
      <c r="E166" s="9" t="str">
        <f t="shared" si="21"/>
        <v>, 0</v>
      </c>
      <c r="F166" s="9" t="str">
        <f t="shared" si="22"/>
        <v>, s.0</v>
      </c>
      <c r="G166" s="3" t="str">
        <f t="shared" si="20"/>
        <v>OR (s.0 &lt;&gt; t.0 OR ( t.0 Is Null AND s.0 Is Not Null) OR ( t.0 Is not Null AND s.0 Is  Null))</v>
      </c>
      <c r="H166" s="9" t="str">
        <f t="shared" si="23"/>
        <v>, t.0 = s.0</v>
      </c>
    </row>
    <row r="167" spans="2:8" x14ac:dyDescent="0.25">
      <c r="B167" s="9">
        <f>'Column Definition'!F173</f>
        <v>0</v>
      </c>
      <c r="C167" s="14" t="str">
        <f>_xlfn.SWITCH(Table4[[#This Row],[Column1]],"int", 0, "Smallint", 0, "tinyint", 0, "Bit", 0, "varchar", "'A'", "nvarchar", "'A'", "char", "'A'", "numeric", 0,"decimal", 0, "date", "'01/01/2000'", "datetime", "'01/01/2000'", "")</f>
        <v/>
      </c>
      <c r="D167" s="3">
        <f>'Column Definition'!C173</f>
        <v>0</v>
      </c>
      <c r="E167" s="9" t="str">
        <f t="shared" si="21"/>
        <v>, 0</v>
      </c>
      <c r="F167" s="9" t="str">
        <f t="shared" si="22"/>
        <v>, s.0</v>
      </c>
      <c r="G167" s="3" t="str">
        <f t="shared" si="20"/>
        <v>OR (s.0 &lt;&gt; t.0 OR ( t.0 Is Null AND s.0 Is Not Null) OR ( t.0 Is not Null AND s.0 Is  Null))</v>
      </c>
      <c r="H167" s="9" t="str">
        <f t="shared" si="23"/>
        <v>, t.0 = s.0</v>
      </c>
    </row>
    <row r="168" spans="2:8" x14ac:dyDescent="0.25">
      <c r="B168" s="9">
        <f>'Column Definition'!F174</f>
        <v>0</v>
      </c>
      <c r="C168" s="14" t="str">
        <f>_xlfn.SWITCH(Table4[[#This Row],[Column1]],"int", 0, "Smallint", 0, "tinyint", 0, "Bit", 0, "varchar", "'A'", "nvarchar", "'A'", "char", "'A'", "numeric", 0,"decimal", 0, "date", "'01/01/2000'", "datetime", "'01/01/2000'", "")</f>
        <v/>
      </c>
      <c r="D168" s="3">
        <f>'Column Definition'!C174</f>
        <v>0</v>
      </c>
      <c r="E168" s="9" t="str">
        <f t="shared" si="21"/>
        <v>, 0</v>
      </c>
      <c r="F168" s="9" t="str">
        <f t="shared" si="22"/>
        <v>, s.0</v>
      </c>
      <c r="G168" s="3" t="str">
        <f t="shared" si="20"/>
        <v>OR (s.0 &lt;&gt; t.0 OR ( t.0 Is Null AND s.0 Is Not Null) OR ( t.0 Is not Null AND s.0 Is  Null))</v>
      </c>
      <c r="H168" s="9" t="str">
        <f t="shared" si="23"/>
        <v>, t.0 = s.0</v>
      </c>
    </row>
    <row r="169" spans="2:8" x14ac:dyDescent="0.25">
      <c r="B169" s="9">
        <f>'Column Definition'!F175</f>
        <v>0</v>
      </c>
      <c r="C169" s="14" t="str">
        <f>_xlfn.SWITCH(Table4[[#This Row],[Column1]],"int", 0, "Smallint", 0, "tinyint", 0, "Bit", 0, "varchar", "'A'", "nvarchar", "'A'", "char", "'A'", "numeric", 0,"decimal", 0, "date", "'01/01/2000'", "datetime", "'01/01/2000'", "")</f>
        <v/>
      </c>
      <c r="D169" s="3">
        <f>'Column Definition'!C175</f>
        <v>0</v>
      </c>
      <c r="E169" s="9" t="str">
        <f t="shared" si="21"/>
        <v>, 0</v>
      </c>
      <c r="F169" s="9" t="str">
        <f t="shared" si="22"/>
        <v>, s.0</v>
      </c>
      <c r="G169" s="3" t="str">
        <f t="shared" si="20"/>
        <v>OR (s.0 &lt;&gt; t.0 OR ( t.0 Is Null AND s.0 Is Not Null) OR ( t.0 Is not Null AND s.0 Is  Null))</v>
      </c>
      <c r="H169" s="9" t="str">
        <f t="shared" si="23"/>
        <v>, t.0 = s.0</v>
      </c>
    </row>
    <row r="170" spans="2:8" x14ac:dyDescent="0.25">
      <c r="B170" s="9">
        <f>'Column Definition'!F176</f>
        <v>0</v>
      </c>
      <c r="C170" s="14" t="str">
        <f>_xlfn.SWITCH(Table4[[#This Row],[Column1]],"int", 0, "Smallint", 0, "tinyint", 0, "Bit", 0, "varchar", "'A'", "nvarchar", "'A'", "char", "'A'", "numeric", 0,"decimal", 0, "date", "'01/01/2000'", "datetime", "'01/01/2000'", "")</f>
        <v/>
      </c>
      <c r="D170" s="3">
        <f>'Column Definition'!C176</f>
        <v>0</v>
      </c>
      <c r="E170" s="9" t="str">
        <f t="shared" si="21"/>
        <v>, 0</v>
      </c>
      <c r="F170" s="9" t="str">
        <f t="shared" si="22"/>
        <v>, s.0</v>
      </c>
      <c r="G170" s="3" t="str">
        <f t="shared" si="20"/>
        <v>OR (s.0 &lt;&gt; t.0 OR ( t.0 Is Null AND s.0 Is Not Null) OR ( t.0 Is not Null AND s.0 Is  Null))</v>
      </c>
      <c r="H170" s="9" t="str">
        <f t="shared" si="23"/>
        <v>, t.0 = s.0</v>
      </c>
    </row>
    <row r="171" spans="2:8" x14ac:dyDescent="0.25">
      <c r="B171" s="9">
        <f>'Column Definition'!F177</f>
        <v>0</v>
      </c>
      <c r="C171" s="14" t="str">
        <f>_xlfn.SWITCH(Table4[[#This Row],[Column1]],"int", 0, "Smallint", 0, "tinyint", 0, "Bit", 0, "varchar", "'A'", "nvarchar", "'A'", "char", "'A'", "numeric", 0,"decimal", 0, "date", "'01/01/2000'", "datetime", "'01/01/2000'", "")</f>
        <v/>
      </c>
      <c r="D171" s="3">
        <f>'Column Definition'!C177</f>
        <v>0</v>
      </c>
      <c r="E171" s="9" t="str">
        <f t="shared" si="21"/>
        <v>, 0</v>
      </c>
      <c r="F171" s="9" t="str">
        <f t="shared" si="22"/>
        <v>, s.0</v>
      </c>
      <c r="G171" s="3" t="str">
        <f t="shared" si="20"/>
        <v>OR (s.0 &lt;&gt; t.0 OR ( t.0 Is Null AND s.0 Is Not Null) OR ( t.0 Is not Null AND s.0 Is  Null))</v>
      </c>
      <c r="H171" s="9" t="str">
        <f t="shared" si="23"/>
        <v>, t.0 = s.0</v>
      </c>
    </row>
    <row r="172" spans="2:8" x14ac:dyDescent="0.25">
      <c r="B172" s="9">
        <f>'Column Definition'!F178</f>
        <v>0</v>
      </c>
      <c r="C172" s="14" t="str">
        <f>_xlfn.SWITCH(Table4[[#This Row],[Column1]],"int", 0, "Smallint", 0, "tinyint", 0, "Bit", 0, "varchar", "'A'", "nvarchar", "'A'", "char", "'A'", "numeric", 0,"decimal", 0, "date", "'01/01/2000'", "datetime", "'01/01/2000'", "")</f>
        <v/>
      </c>
      <c r="D172" s="3">
        <f>'Column Definition'!C178</f>
        <v>0</v>
      </c>
      <c r="E172" s="9" t="str">
        <f t="shared" si="21"/>
        <v>, 0</v>
      </c>
      <c r="F172" s="9" t="str">
        <f t="shared" si="22"/>
        <v>, s.0</v>
      </c>
      <c r="G172" s="3" t="str">
        <f t="shared" si="20"/>
        <v>OR (s.0 &lt;&gt; t.0 OR ( t.0 Is Null AND s.0 Is Not Null) OR ( t.0 Is not Null AND s.0 Is  Null))</v>
      </c>
      <c r="H172" s="9" t="str">
        <f t="shared" si="23"/>
        <v>, t.0 = s.0</v>
      </c>
    </row>
    <row r="173" spans="2:8" x14ac:dyDescent="0.25">
      <c r="B173" s="9">
        <f>'Column Definition'!F179</f>
        <v>0</v>
      </c>
      <c r="C173" s="14" t="str">
        <f>_xlfn.SWITCH(Table4[[#This Row],[Column1]],"int", 0, "Smallint", 0, "tinyint", 0, "Bit", 0, "varchar", "'A'", "nvarchar", "'A'", "char", "'A'", "numeric", 0,"decimal", 0, "date", "'01/01/2000'", "datetime", "'01/01/2000'", "")</f>
        <v/>
      </c>
      <c r="D173" s="3">
        <f>'Column Definition'!C179</f>
        <v>0</v>
      </c>
      <c r="E173" s="9" t="str">
        <f t="shared" si="21"/>
        <v>, 0</v>
      </c>
      <c r="F173" s="9" t="str">
        <f t="shared" si="22"/>
        <v>, s.0</v>
      </c>
      <c r="G173" s="3" t="str">
        <f t="shared" si="20"/>
        <v>OR (s.0 &lt;&gt; t.0 OR ( t.0 Is Null AND s.0 Is Not Null) OR ( t.0 Is not Null AND s.0 Is  Null))</v>
      </c>
      <c r="H173" s="9" t="str">
        <f t="shared" si="23"/>
        <v>, t.0 = s.0</v>
      </c>
    </row>
    <row r="174" spans="2:8" x14ac:dyDescent="0.25">
      <c r="B174" s="9">
        <f>'Column Definition'!F180</f>
        <v>0</v>
      </c>
      <c r="C174" s="14" t="str">
        <f>_xlfn.SWITCH(Table4[[#This Row],[Column1]],"int", 0, "Smallint", 0, "tinyint", 0, "Bit", 0, "varchar", "'A'", "nvarchar", "'A'", "char", "'A'", "numeric", 0,"decimal", 0, "date", "'01/01/2000'", "datetime", "'01/01/2000'", "")</f>
        <v/>
      </c>
      <c r="D174" s="3">
        <f>'Column Definition'!C180</f>
        <v>0</v>
      </c>
      <c r="E174" s="9" t="str">
        <f t="shared" si="21"/>
        <v>, 0</v>
      </c>
      <c r="F174" s="9" t="str">
        <f t="shared" si="22"/>
        <v>, s.0</v>
      </c>
      <c r="G174" s="3" t="str">
        <f t="shared" si="20"/>
        <v>OR (s.0 &lt;&gt; t.0 OR ( t.0 Is Null AND s.0 Is Not Null) OR ( t.0 Is not Null AND s.0 Is  Null))</v>
      </c>
      <c r="H174" s="9" t="str">
        <f t="shared" si="23"/>
        <v>, t.0 = s.0</v>
      </c>
    </row>
    <row r="175" spans="2:8" x14ac:dyDescent="0.25">
      <c r="B175" s="9">
        <f>'Column Definition'!F181</f>
        <v>0</v>
      </c>
      <c r="C175" s="14" t="str">
        <f>_xlfn.SWITCH(Table4[[#This Row],[Column1]],"int", 0, "Smallint", 0, "tinyint", 0, "Bit", 0, "varchar", "'A'", "nvarchar", "'A'", "char", "'A'", "numeric", 0,"decimal", 0, "date", "'01/01/2000'", "datetime", "'01/01/2000'", "")</f>
        <v/>
      </c>
      <c r="D175" s="3">
        <f>'Column Definition'!C181</f>
        <v>0</v>
      </c>
      <c r="E175" s="9" t="str">
        <f t="shared" si="21"/>
        <v>, 0</v>
      </c>
      <c r="F175" s="9" t="str">
        <f t="shared" si="22"/>
        <v>, s.0</v>
      </c>
      <c r="G175" s="3" t="str">
        <f t="shared" si="20"/>
        <v>OR (s.0 &lt;&gt; t.0 OR ( t.0 Is Null AND s.0 Is Not Null) OR ( t.0 Is not Null AND s.0 Is  Null))</v>
      </c>
      <c r="H175" s="9" t="str">
        <f t="shared" si="23"/>
        <v>, t.0 = s.0</v>
      </c>
    </row>
    <row r="176" spans="2:8" x14ac:dyDescent="0.25">
      <c r="B176" s="9">
        <f>'Column Definition'!F182</f>
        <v>0</v>
      </c>
      <c r="C176" s="14" t="str">
        <f>_xlfn.SWITCH(Table4[[#This Row],[Column1]],"int", 0, "Smallint", 0, "tinyint", 0, "Bit", 0, "varchar", "'A'", "nvarchar", "'A'", "char", "'A'", "numeric", 0,"decimal", 0, "date", "'01/01/2000'", "datetime", "'01/01/2000'", "")</f>
        <v/>
      </c>
      <c r="D176" s="3">
        <f>'Column Definition'!C182</f>
        <v>0</v>
      </c>
      <c r="E176" s="9" t="str">
        <f t="shared" si="21"/>
        <v>, 0</v>
      </c>
      <c r="F176" s="9" t="str">
        <f t="shared" si="22"/>
        <v>, s.0</v>
      </c>
      <c r="G176" s="3" t="str">
        <f t="shared" si="20"/>
        <v>OR (s.0 &lt;&gt; t.0 OR ( t.0 Is Null AND s.0 Is Not Null) OR ( t.0 Is not Null AND s.0 Is  Null))</v>
      </c>
      <c r="H176" s="9" t="str">
        <f t="shared" si="23"/>
        <v>, t.0 = s.0</v>
      </c>
    </row>
    <row r="177" spans="2:8" x14ac:dyDescent="0.25">
      <c r="B177" s="9">
        <f>'Column Definition'!F183</f>
        <v>0</v>
      </c>
      <c r="C177" s="14" t="str">
        <f>_xlfn.SWITCH(Table4[[#This Row],[Column1]],"int", 0, "Smallint", 0, "tinyint", 0, "Bit", 0, "varchar", "'A'", "nvarchar", "'A'", "char", "'A'", "numeric", 0,"decimal", 0, "date", "'01/01/2000'", "datetime", "'01/01/2000'", "")</f>
        <v/>
      </c>
      <c r="D177" s="3">
        <f>'Column Definition'!C183</f>
        <v>0</v>
      </c>
      <c r="E177" s="9" t="str">
        <f t="shared" si="21"/>
        <v>, 0</v>
      </c>
      <c r="F177" s="9" t="str">
        <f t="shared" si="22"/>
        <v>, s.0</v>
      </c>
      <c r="G177" s="3" t="str">
        <f t="shared" si="20"/>
        <v>OR (s.0 &lt;&gt; t.0 OR ( t.0 Is Null AND s.0 Is Not Null) OR ( t.0 Is not Null AND s.0 Is  Null))</v>
      </c>
      <c r="H177" s="9" t="str">
        <f t="shared" si="23"/>
        <v>, t.0 = s.0</v>
      </c>
    </row>
    <row r="178" spans="2:8" x14ac:dyDescent="0.25">
      <c r="B178" s="9">
        <f>'Column Definition'!F184</f>
        <v>0</v>
      </c>
      <c r="C178" s="14" t="str">
        <f>_xlfn.SWITCH(Table4[[#This Row],[Column1]],"int", 0, "Smallint", 0, "tinyint", 0, "Bit", 0, "varchar", "'A'", "nvarchar", "'A'", "char", "'A'", "numeric", 0,"decimal", 0, "date", "'01/01/2000'", "datetime", "'01/01/2000'", "")</f>
        <v/>
      </c>
      <c r="D178" s="3">
        <f>'Column Definition'!C184</f>
        <v>0</v>
      </c>
      <c r="E178" s="9" t="str">
        <f t="shared" si="21"/>
        <v>, 0</v>
      </c>
      <c r="F178" s="9" t="str">
        <f t="shared" si="22"/>
        <v>, s.0</v>
      </c>
      <c r="G178" s="3" t="str">
        <f t="shared" si="20"/>
        <v>OR (s.0 &lt;&gt; t.0 OR ( t.0 Is Null AND s.0 Is Not Null) OR ( t.0 Is not Null AND s.0 Is  Null))</v>
      </c>
      <c r="H178" s="9" t="str">
        <f t="shared" si="23"/>
        <v>, t.0 = s.0</v>
      </c>
    </row>
    <row r="179" spans="2:8" x14ac:dyDescent="0.25">
      <c r="B179" s="9">
        <f>'Column Definition'!F185</f>
        <v>0</v>
      </c>
      <c r="C179" s="14" t="str">
        <f>_xlfn.SWITCH(Table4[[#This Row],[Column1]],"int", 0, "Smallint", 0, "tinyint", 0, "Bit", 0, "varchar", "'A'", "nvarchar", "'A'", "char", "'A'", "numeric", 0,"decimal", 0, "date", "'01/01/2000'", "datetime", "'01/01/2000'", "")</f>
        <v/>
      </c>
      <c r="D179" s="3">
        <f>'Column Definition'!C185</f>
        <v>0</v>
      </c>
      <c r="E179" s="9" t="str">
        <f t="shared" si="21"/>
        <v>, 0</v>
      </c>
      <c r="F179" s="9" t="str">
        <f t="shared" si="22"/>
        <v>, s.0</v>
      </c>
      <c r="G179" s="3" t="str">
        <f t="shared" si="20"/>
        <v>OR (s.0 &lt;&gt; t.0 OR ( t.0 Is Null AND s.0 Is Not Null) OR ( t.0 Is not Null AND s.0 Is  Null))</v>
      </c>
      <c r="H179" s="9" t="str">
        <f t="shared" si="23"/>
        <v>, t.0 = s.0</v>
      </c>
    </row>
    <row r="180" spans="2:8" x14ac:dyDescent="0.25">
      <c r="B180" s="9">
        <f>'Column Definition'!F186</f>
        <v>0</v>
      </c>
      <c r="C180" s="14" t="str">
        <f>_xlfn.SWITCH(Table4[[#This Row],[Column1]],"int", 0, "Smallint", 0, "tinyint", 0, "Bit", 0, "varchar", "'A'", "nvarchar", "'A'", "char", "'A'", "numeric", 0,"decimal", 0, "date", "'01/01/2000'", "datetime", "'01/01/2000'", "")</f>
        <v/>
      </c>
      <c r="D180" s="3">
        <f>'Column Definition'!C186</f>
        <v>0</v>
      </c>
      <c r="E180" s="9" t="str">
        <f t="shared" si="21"/>
        <v>, 0</v>
      </c>
      <c r="F180" s="9" t="str">
        <f t="shared" si="22"/>
        <v>, s.0</v>
      </c>
      <c r="G180" s="3" t="str">
        <f t="shared" si="20"/>
        <v>OR (s.0 &lt;&gt; t.0 OR ( t.0 Is Null AND s.0 Is Not Null) OR ( t.0 Is not Null AND s.0 Is  Null))</v>
      </c>
      <c r="H180" s="9" t="str">
        <f t="shared" si="23"/>
        <v>, t.0 = s.0</v>
      </c>
    </row>
    <row r="181" spans="2:8" x14ac:dyDescent="0.25">
      <c r="B181" s="9">
        <f>'Column Definition'!F187</f>
        <v>0</v>
      </c>
      <c r="C181" s="14" t="str">
        <f>_xlfn.SWITCH(Table4[[#This Row],[Column1]],"int", 0, "Smallint", 0, "tinyint", 0, "Bit", 0, "varchar", "'A'", "nvarchar", "'A'", "char", "'A'", "numeric", 0,"decimal", 0, "date", "'01/01/2000'", "datetime", "'01/01/2000'", "")</f>
        <v/>
      </c>
      <c r="D181" s="3">
        <f>'Column Definition'!C187</f>
        <v>0</v>
      </c>
      <c r="E181" s="9" t="str">
        <f t="shared" si="21"/>
        <v>, 0</v>
      </c>
      <c r="F181" s="9" t="str">
        <f t="shared" si="22"/>
        <v>, s.0</v>
      </c>
      <c r="G181" s="3" t="str">
        <f t="shared" si="20"/>
        <v>OR (s.0 &lt;&gt; t.0 OR ( t.0 Is Null AND s.0 Is Not Null) OR ( t.0 Is not Null AND s.0 Is  Null))</v>
      </c>
      <c r="H181" s="9" t="str">
        <f t="shared" si="23"/>
        <v>, t.0 = s.0</v>
      </c>
    </row>
    <row r="182" spans="2:8" x14ac:dyDescent="0.25">
      <c r="B182" s="9">
        <f>'Column Definition'!F188</f>
        <v>0</v>
      </c>
      <c r="C182" s="14" t="str">
        <f>_xlfn.SWITCH(Table4[[#This Row],[Column1]],"int", 0, "Smallint", 0, "tinyint", 0, "Bit", 0, "varchar", "'A'", "nvarchar", "'A'", "char", "'A'", "numeric", 0,"decimal", 0, "date", "'01/01/2000'", "datetime", "'01/01/2000'", "")</f>
        <v/>
      </c>
      <c r="D182" s="3">
        <f>'Column Definition'!C188</f>
        <v>0</v>
      </c>
      <c r="E182" s="9" t="str">
        <f t="shared" si="21"/>
        <v>, 0</v>
      </c>
      <c r="F182" s="9" t="str">
        <f t="shared" si="22"/>
        <v>, s.0</v>
      </c>
      <c r="G182" s="3" t="str">
        <f t="shared" si="20"/>
        <v>OR (s.0 &lt;&gt; t.0 OR ( t.0 Is Null AND s.0 Is Not Null) OR ( t.0 Is not Null AND s.0 Is  Null))</v>
      </c>
      <c r="H182" s="9" t="str">
        <f t="shared" si="23"/>
        <v>, t.0 = s.0</v>
      </c>
    </row>
    <row r="183" spans="2:8" x14ac:dyDescent="0.25">
      <c r="B183" s="9">
        <f>'Column Definition'!F189</f>
        <v>0</v>
      </c>
      <c r="C183" s="14" t="str">
        <f>_xlfn.SWITCH(Table4[[#This Row],[Column1]],"int", 0, "Smallint", 0, "tinyint", 0, "Bit", 0, "varchar", "'A'", "nvarchar", "'A'", "char", "'A'", "numeric", 0,"decimal", 0, "date", "'01/01/2000'", "datetime", "'01/01/2000'", "")</f>
        <v/>
      </c>
      <c r="D183" s="3">
        <f>'Column Definition'!C189</f>
        <v>0</v>
      </c>
      <c r="E183" s="9" t="str">
        <f t="shared" si="21"/>
        <v>, 0</v>
      </c>
      <c r="F183" s="9" t="str">
        <f t="shared" si="22"/>
        <v>, s.0</v>
      </c>
      <c r="G183" s="3" t="str">
        <f t="shared" si="20"/>
        <v>OR (s.0 &lt;&gt; t.0 OR ( t.0 Is Null AND s.0 Is Not Null) OR ( t.0 Is not Null AND s.0 Is  Null))</v>
      </c>
      <c r="H183" s="9" t="str">
        <f t="shared" si="23"/>
        <v>, t.0 = s.0</v>
      </c>
    </row>
    <row r="184" spans="2:8" x14ac:dyDescent="0.25">
      <c r="B184" s="9">
        <f>'Column Definition'!F190</f>
        <v>0</v>
      </c>
      <c r="C184" s="14" t="str">
        <f>_xlfn.SWITCH(Table4[[#This Row],[Column1]],"int", 0, "Smallint", 0, "tinyint", 0, "Bit", 0, "varchar", "'A'", "nvarchar", "'A'", "char", "'A'", "numeric", 0,"decimal", 0, "date", "'01/01/2000'", "datetime", "'01/01/2000'", "")</f>
        <v/>
      </c>
      <c r="D184" s="3">
        <f>'Column Definition'!C190</f>
        <v>0</v>
      </c>
      <c r="E184" s="9" t="str">
        <f t="shared" ref="E184:E215" si="24">", "&amp;D184</f>
        <v>, 0</v>
      </c>
      <c r="F184" s="9" t="str">
        <f t="shared" ref="F184:F215" si="25">", s."&amp;D184</f>
        <v>, s.0</v>
      </c>
      <c r="G184" s="3" t="str">
        <f t="shared" si="20"/>
        <v>OR (s.0 &lt;&gt; t.0 OR ( t.0 Is Null AND s.0 Is Not Null) OR ( t.0 Is not Null AND s.0 Is  Null))</v>
      </c>
      <c r="H184" s="9" t="str">
        <f t="shared" ref="H184:H215" si="26">", t."&amp; D184  &amp; " = s." &amp; D184</f>
        <v>, t.0 = s.0</v>
      </c>
    </row>
    <row r="185" spans="2:8" x14ac:dyDescent="0.25">
      <c r="B185" s="9">
        <f>'Column Definition'!F191</f>
        <v>0</v>
      </c>
      <c r="C185" s="14" t="str">
        <f>_xlfn.SWITCH(Table4[[#This Row],[Column1]],"int", 0, "Smallint", 0, "tinyint", 0, "Bit", 0, "varchar", "'A'", "nvarchar", "'A'", "char", "'A'", "numeric", 0,"decimal", 0, "date", "'01/01/2000'", "datetime", "'01/01/2000'", "")</f>
        <v/>
      </c>
      <c r="D185" s="3">
        <f>'Column Definition'!C191</f>
        <v>0</v>
      </c>
      <c r="E185" s="9" t="str">
        <f t="shared" si="24"/>
        <v>, 0</v>
      </c>
      <c r="F185" s="9" t="str">
        <f t="shared" si="25"/>
        <v>, s.0</v>
      </c>
      <c r="G185" s="3" t="str">
        <f t="shared" si="20"/>
        <v>OR (s.0 &lt;&gt; t.0 OR ( t.0 Is Null AND s.0 Is Not Null) OR ( t.0 Is not Null AND s.0 Is  Null))</v>
      </c>
      <c r="H185" s="9" t="str">
        <f t="shared" si="26"/>
        <v>, t.0 = s.0</v>
      </c>
    </row>
    <row r="186" spans="2:8" x14ac:dyDescent="0.25">
      <c r="B186" s="9">
        <f>'Column Definition'!F192</f>
        <v>0</v>
      </c>
      <c r="C186" s="14" t="str">
        <f>_xlfn.SWITCH(Table4[[#This Row],[Column1]],"int", 0, "Smallint", 0, "tinyint", 0, "Bit", 0, "varchar", "'A'", "nvarchar", "'A'", "char", "'A'", "numeric", 0,"decimal", 0, "date", "'01/01/2000'", "datetime", "'01/01/2000'", "")</f>
        <v/>
      </c>
      <c r="D186" s="3">
        <f>'Column Definition'!C192</f>
        <v>0</v>
      </c>
      <c r="E186" s="9" t="str">
        <f t="shared" si="24"/>
        <v>, 0</v>
      </c>
      <c r="F186" s="9" t="str">
        <f t="shared" si="25"/>
        <v>, s.0</v>
      </c>
      <c r="G186" s="3" t="str">
        <f t="shared" si="20"/>
        <v>OR (s.0 &lt;&gt; t.0 OR ( t.0 Is Null AND s.0 Is Not Null) OR ( t.0 Is not Null AND s.0 Is  Null))</v>
      </c>
      <c r="H186" s="9" t="str">
        <f t="shared" si="26"/>
        <v>, t.0 = s.0</v>
      </c>
    </row>
    <row r="187" spans="2:8" x14ac:dyDescent="0.25">
      <c r="B187" s="9">
        <f>'Column Definition'!F193</f>
        <v>0</v>
      </c>
      <c r="C187" s="14" t="str">
        <f>_xlfn.SWITCH(Table4[[#This Row],[Column1]],"int", 0, "Smallint", 0, "tinyint", 0, "Bit", 0, "varchar", "'A'", "nvarchar", "'A'", "char", "'A'", "numeric", 0,"decimal", 0, "date", "'01/01/2000'", "datetime", "'01/01/2000'", "")</f>
        <v/>
      </c>
      <c r="D187" s="3">
        <f>'Column Definition'!C193</f>
        <v>0</v>
      </c>
      <c r="E187" s="9" t="str">
        <f t="shared" si="24"/>
        <v>, 0</v>
      </c>
      <c r="F187" s="9" t="str">
        <f t="shared" si="25"/>
        <v>, s.0</v>
      </c>
      <c r="G187" s="3" t="str">
        <f t="shared" si="20"/>
        <v>OR (s.0 &lt;&gt; t.0 OR ( t.0 Is Null AND s.0 Is Not Null) OR ( t.0 Is not Null AND s.0 Is  Null))</v>
      </c>
      <c r="H187" s="9" t="str">
        <f t="shared" si="26"/>
        <v>, t.0 = s.0</v>
      </c>
    </row>
    <row r="188" spans="2:8" x14ac:dyDescent="0.25">
      <c r="B188" s="9">
        <f>'Column Definition'!F194</f>
        <v>0</v>
      </c>
      <c r="C188" s="14" t="str">
        <f>_xlfn.SWITCH(Table4[[#This Row],[Column1]],"int", 0, "Smallint", 0, "tinyint", 0, "Bit", 0, "varchar", "'A'", "nvarchar", "'A'", "char", "'A'", "numeric", 0,"decimal", 0, "date", "'01/01/2000'", "datetime", "'01/01/2000'", "")</f>
        <v/>
      </c>
      <c r="D188" s="3">
        <f>'Column Definition'!C194</f>
        <v>0</v>
      </c>
      <c r="E188" s="9" t="str">
        <f t="shared" si="24"/>
        <v>, 0</v>
      </c>
      <c r="F188" s="9" t="str">
        <f t="shared" si="25"/>
        <v>, s.0</v>
      </c>
      <c r="G188" s="3" t="str">
        <f t="shared" si="20"/>
        <v>OR (s.0 &lt;&gt; t.0 OR ( t.0 Is Null AND s.0 Is Not Null) OR ( t.0 Is not Null AND s.0 Is  Null))</v>
      </c>
      <c r="H188" s="9" t="str">
        <f t="shared" si="26"/>
        <v>, t.0 = s.0</v>
      </c>
    </row>
    <row r="189" spans="2:8" x14ac:dyDescent="0.25">
      <c r="B189" s="9">
        <f>'Column Definition'!F195</f>
        <v>0</v>
      </c>
      <c r="C189" s="14" t="str">
        <f>_xlfn.SWITCH(Table4[[#This Row],[Column1]],"int", 0, "Smallint", 0, "tinyint", 0, "Bit", 0, "varchar", "'A'", "nvarchar", "'A'", "char", "'A'", "numeric", 0,"decimal", 0, "date", "'01/01/2000'", "datetime", "'01/01/2000'", "")</f>
        <v/>
      </c>
      <c r="D189" s="3">
        <f>'Column Definition'!C195</f>
        <v>0</v>
      </c>
      <c r="E189" s="9" t="str">
        <f t="shared" si="24"/>
        <v>, 0</v>
      </c>
      <c r="F189" s="9" t="str">
        <f t="shared" si="25"/>
        <v>, s.0</v>
      </c>
      <c r="G189" s="3" t="str">
        <f t="shared" si="20"/>
        <v>OR (s.0 &lt;&gt; t.0 OR ( t.0 Is Null AND s.0 Is Not Null) OR ( t.0 Is not Null AND s.0 Is  Null))</v>
      </c>
      <c r="H189" s="9" t="str">
        <f t="shared" si="26"/>
        <v>, t.0 = s.0</v>
      </c>
    </row>
    <row r="190" spans="2:8" x14ac:dyDescent="0.25">
      <c r="B190" s="9">
        <f>'Column Definition'!F196</f>
        <v>0</v>
      </c>
      <c r="C190" s="14" t="str">
        <f>_xlfn.SWITCH(Table4[[#This Row],[Column1]],"int", 0, "Smallint", 0, "tinyint", 0, "Bit", 0, "varchar", "'A'", "nvarchar", "'A'", "char", "'A'", "numeric", 0,"decimal", 0, "date", "'01/01/2000'", "datetime", "'01/01/2000'", "")</f>
        <v/>
      </c>
      <c r="D190" s="3">
        <f>'Column Definition'!C196</f>
        <v>0</v>
      </c>
      <c r="E190" s="9" t="str">
        <f t="shared" si="24"/>
        <v>, 0</v>
      </c>
      <c r="F190" s="9" t="str">
        <f t="shared" si="25"/>
        <v>, s.0</v>
      </c>
      <c r="G190" s="3" t="str">
        <f t="shared" si="20"/>
        <v>OR (s.0 &lt;&gt; t.0 OR ( t.0 Is Null AND s.0 Is Not Null) OR ( t.0 Is not Null AND s.0 Is  Null))</v>
      </c>
      <c r="H190" s="9" t="str">
        <f t="shared" si="26"/>
        <v>, t.0 = s.0</v>
      </c>
    </row>
    <row r="191" spans="2:8" x14ac:dyDescent="0.25">
      <c r="B191" s="9">
        <f>'Column Definition'!F197</f>
        <v>0</v>
      </c>
      <c r="C191" s="14" t="str">
        <f>_xlfn.SWITCH(Table4[[#This Row],[Column1]],"int", 0, "Smallint", 0, "tinyint", 0, "Bit", 0, "varchar", "'A'", "nvarchar", "'A'", "char", "'A'", "numeric", 0,"decimal", 0, "date", "'01/01/2000'", "datetime", "'01/01/2000'", "")</f>
        <v/>
      </c>
      <c r="D191" s="3">
        <f>'Column Definition'!C197</f>
        <v>0</v>
      </c>
      <c r="E191" s="9" t="str">
        <f t="shared" si="24"/>
        <v>, 0</v>
      </c>
      <c r="F191" s="9" t="str">
        <f t="shared" si="25"/>
        <v>, s.0</v>
      </c>
      <c r="G191" s="3" t="str">
        <f t="shared" si="20"/>
        <v>OR (s.0 &lt;&gt; t.0 OR ( t.0 Is Null AND s.0 Is Not Null) OR ( t.0 Is not Null AND s.0 Is  Null))</v>
      </c>
      <c r="H191" s="9" t="str">
        <f t="shared" si="26"/>
        <v>, t.0 = s.0</v>
      </c>
    </row>
    <row r="192" spans="2:8" x14ac:dyDescent="0.25">
      <c r="B192" s="9">
        <f>'Column Definition'!F198</f>
        <v>0</v>
      </c>
      <c r="C192" s="14" t="str">
        <f>_xlfn.SWITCH(Table4[[#This Row],[Column1]],"int", 0, "Smallint", 0, "tinyint", 0, "Bit", 0, "varchar", "'A'", "nvarchar", "'A'", "char", "'A'", "numeric", 0,"decimal", 0, "date", "'01/01/2000'", "datetime", "'01/01/2000'", "")</f>
        <v/>
      </c>
      <c r="D192" s="3">
        <f>'Column Definition'!C198</f>
        <v>0</v>
      </c>
      <c r="E192" s="9" t="str">
        <f t="shared" si="24"/>
        <v>, 0</v>
      </c>
      <c r="F192" s="9" t="str">
        <f t="shared" si="25"/>
        <v>, s.0</v>
      </c>
      <c r="G192" s="3" t="str">
        <f t="shared" si="20"/>
        <v>OR (s.0 &lt;&gt; t.0 OR ( t.0 Is Null AND s.0 Is Not Null) OR ( t.0 Is not Null AND s.0 Is  Null))</v>
      </c>
      <c r="H192" s="9" t="str">
        <f t="shared" si="26"/>
        <v>, t.0 = s.0</v>
      </c>
    </row>
    <row r="193" spans="2:8" x14ac:dyDescent="0.25">
      <c r="B193" s="9">
        <f>'Column Definition'!F199</f>
        <v>0</v>
      </c>
      <c r="C193" s="14" t="str">
        <f>_xlfn.SWITCH(Table4[[#This Row],[Column1]],"int", 0, "Smallint", 0, "tinyint", 0, "Bit", 0, "varchar", "'A'", "nvarchar", "'A'", "char", "'A'", "numeric", 0,"decimal", 0, "date", "'01/01/2000'", "datetime", "'01/01/2000'", "")</f>
        <v/>
      </c>
      <c r="D193" s="3">
        <f>'Column Definition'!C199</f>
        <v>0</v>
      </c>
      <c r="E193" s="9" t="str">
        <f t="shared" si="24"/>
        <v>, 0</v>
      </c>
      <c r="F193" s="9" t="str">
        <f t="shared" si="25"/>
        <v>, s.0</v>
      </c>
      <c r="G193" s="3" t="str">
        <f t="shared" si="20"/>
        <v>OR (s.0 &lt;&gt; t.0 OR ( t.0 Is Null AND s.0 Is Not Null) OR ( t.0 Is not Null AND s.0 Is  Null))</v>
      </c>
      <c r="H193" s="9" t="str">
        <f t="shared" si="26"/>
        <v>, t.0 = s.0</v>
      </c>
    </row>
    <row r="194" spans="2:8" x14ac:dyDescent="0.25">
      <c r="B194" s="9">
        <f>'Column Definition'!F200</f>
        <v>0</v>
      </c>
      <c r="C194" s="14" t="str">
        <f>_xlfn.SWITCH(Table4[[#This Row],[Column1]],"int", 0, "Smallint", 0, "tinyint", 0, "Bit", 0, "varchar", "'A'", "nvarchar", "'A'", "char", "'A'", "numeric", 0,"decimal", 0, "date", "'01/01/2000'", "datetime", "'01/01/2000'", "")</f>
        <v/>
      </c>
      <c r="D194" s="3">
        <f>'Column Definition'!C200</f>
        <v>0</v>
      </c>
      <c r="E194" s="9" t="str">
        <f t="shared" si="24"/>
        <v>, 0</v>
      </c>
      <c r="F194" s="9" t="str">
        <f t="shared" si="25"/>
        <v>, s.0</v>
      </c>
      <c r="G194" s="3" t="str">
        <f t="shared" si="20"/>
        <v>OR (s.0 &lt;&gt; t.0 OR ( t.0 Is Null AND s.0 Is Not Null) OR ( t.0 Is not Null AND s.0 Is  Null))</v>
      </c>
      <c r="H194" s="9" t="str">
        <f t="shared" si="26"/>
        <v>, t.0 = s.0</v>
      </c>
    </row>
    <row r="195" spans="2:8" x14ac:dyDescent="0.25">
      <c r="B195" s="9">
        <f>'Column Definition'!F201</f>
        <v>0</v>
      </c>
      <c r="C195" s="14" t="str">
        <f>_xlfn.SWITCH(Table4[[#This Row],[Column1]],"int", 0, "Smallint", 0, "tinyint", 0, "Bit", 0, "varchar", "'A'", "nvarchar", "'A'", "char", "'A'", "numeric", 0,"decimal", 0, "date", "'01/01/2000'", "datetime", "'01/01/2000'", "")</f>
        <v/>
      </c>
      <c r="D195" s="3">
        <f>'Column Definition'!C201</f>
        <v>0</v>
      </c>
      <c r="E195" s="9" t="str">
        <f t="shared" si="24"/>
        <v>, 0</v>
      </c>
      <c r="F195" s="9" t="str">
        <f t="shared" si="25"/>
        <v>, s.0</v>
      </c>
      <c r="G195" s="3" t="str">
        <f t="shared" si="20"/>
        <v>OR (s.0 &lt;&gt; t.0 OR ( t.0 Is Null AND s.0 Is Not Null) OR ( t.0 Is not Null AND s.0 Is  Null))</v>
      </c>
      <c r="H195" s="9" t="str">
        <f t="shared" si="26"/>
        <v>, t.0 = s.0</v>
      </c>
    </row>
    <row r="196" spans="2:8" x14ac:dyDescent="0.25">
      <c r="B196" s="9">
        <f>'Column Definition'!F202</f>
        <v>0</v>
      </c>
      <c r="C196" s="14" t="str">
        <f>_xlfn.SWITCH(Table4[[#This Row],[Column1]],"int", 0, "Smallint", 0, "tinyint", 0, "Bit", 0, "varchar", "'A'", "nvarchar", "'A'", "char", "'A'", "numeric", 0,"decimal", 0, "date", "'01/01/2000'", "datetime", "'01/01/2000'", "")</f>
        <v/>
      </c>
      <c r="D196" s="3">
        <f>'Column Definition'!C202</f>
        <v>0</v>
      </c>
      <c r="E196" s="9" t="str">
        <f t="shared" si="24"/>
        <v>, 0</v>
      </c>
      <c r="F196" s="9" t="str">
        <f t="shared" si="25"/>
        <v>, s.0</v>
      </c>
      <c r="G196" s="3" t="str">
        <f t="shared" ref="G196:G259" si="27">"OR (s."&amp;D196&amp;" &lt;&gt; t." &amp; D196 &amp; " OR ( t." &amp; D196  &amp; " Is Null AND s." &amp;D196 &amp; " Is Not Null) OR ( t." &amp; D196  &amp; " Is not Null AND s." &amp;D196 &amp; " Is  Null))"</f>
        <v>OR (s.0 &lt;&gt; t.0 OR ( t.0 Is Null AND s.0 Is Not Null) OR ( t.0 Is not Null AND s.0 Is  Null))</v>
      </c>
      <c r="H196" s="9" t="str">
        <f t="shared" si="26"/>
        <v>, t.0 = s.0</v>
      </c>
    </row>
    <row r="197" spans="2:8" x14ac:dyDescent="0.25">
      <c r="B197" s="9">
        <f>'Column Definition'!F203</f>
        <v>0</v>
      </c>
      <c r="C197" s="14" t="str">
        <f>_xlfn.SWITCH(Table4[[#This Row],[Column1]],"int", 0, "Smallint", 0, "tinyint", 0, "Bit", 0, "varchar", "'A'", "nvarchar", "'A'", "char", "'A'", "numeric", 0,"decimal", 0, "date", "'01/01/2000'", "datetime", "'01/01/2000'", "")</f>
        <v/>
      </c>
      <c r="D197" s="3">
        <f>'Column Definition'!C203</f>
        <v>0</v>
      </c>
      <c r="E197" s="9" t="str">
        <f t="shared" si="24"/>
        <v>, 0</v>
      </c>
      <c r="F197" s="9" t="str">
        <f t="shared" si="25"/>
        <v>, s.0</v>
      </c>
      <c r="G197" s="3" t="str">
        <f t="shared" si="27"/>
        <v>OR (s.0 &lt;&gt; t.0 OR ( t.0 Is Null AND s.0 Is Not Null) OR ( t.0 Is not Null AND s.0 Is  Null))</v>
      </c>
      <c r="H197" s="9" t="str">
        <f t="shared" si="26"/>
        <v>, t.0 = s.0</v>
      </c>
    </row>
    <row r="198" spans="2:8" x14ac:dyDescent="0.25">
      <c r="B198" s="9">
        <f>'Column Definition'!F204</f>
        <v>0</v>
      </c>
      <c r="C198" s="14" t="str">
        <f>_xlfn.SWITCH(Table4[[#This Row],[Column1]],"int", 0, "Smallint", 0, "tinyint", 0, "Bit", 0, "varchar", "'A'", "nvarchar", "'A'", "char", "'A'", "numeric", 0,"decimal", 0, "date", "'01/01/2000'", "datetime", "'01/01/2000'", "")</f>
        <v/>
      </c>
      <c r="D198" s="3">
        <f>'Column Definition'!C204</f>
        <v>0</v>
      </c>
      <c r="E198" s="9" t="str">
        <f t="shared" si="24"/>
        <v>, 0</v>
      </c>
      <c r="F198" s="9" t="str">
        <f t="shared" si="25"/>
        <v>, s.0</v>
      </c>
      <c r="G198" s="3" t="str">
        <f t="shared" si="27"/>
        <v>OR (s.0 &lt;&gt; t.0 OR ( t.0 Is Null AND s.0 Is Not Null) OR ( t.0 Is not Null AND s.0 Is  Null))</v>
      </c>
      <c r="H198" s="9" t="str">
        <f t="shared" si="26"/>
        <v>, t.0 = s.0</v>
      </c>
    </row>
    <row r="199" spans="2:8" x14ac:dyDescent="0.25">
      <c r="B199" s="9">
        <f>'Column Definition'!F205</f>
        <v>0</v>
      </c>
      <c r="C199" s="14" t="str">
        <f>_xlfn.SWITCH(Table4[[#This Row],[Column1]],"int", 0, "Smallint", 0, "tinyint", 0, "Bit", 0, "varchar", "'A'", "nvarchar", "'A'", "char", "'A'", "numeric", 0,"decimal", 0, "date", "'01/01/2000'", "datetime", "'01/01/2000'", "")</f>
        <v/>
      </c>
      <c r="D199" s="3">
        <f>'Column Definition'!C205</f>
        <v>0</v>
      </c>
      <c r="E199" s="9" t="str">
        <f t="shared" si="24"/>
        <v>, 0</v>
      </c>
      <c r="F199" s="9" t="str">
        <f t="shared" si="25"/>
        <v>, s.0</v>
      </c>
      <c r="G199" s="3" t="str">
        <f t="shared" si="27"/>
        <v>OR (s.0 &lt;&gt; t.0 OR ( t.0 Is Null AND s.0 Is Not Null) OR ( t.0 Is not Null AND s.0 Is  Null))</v>
      </c>
      <c r="H199" s="9" t="str">
        <f t="shared" si="26"/>
        <v>, t.0 = s.0</v>
      </c>
    </row>
    <row r="200" spans="2:8" x14ac:dyDescent="0.25">
      <c r="B200" s="9">
        <f>'Column Definition'!F206</f>
        <v>0</v>
      </c>
      <c r="C200" s="14" t="str">
        <f>_xlfn.SWITCH(Table4[[#This Row],[Column1]],"int", 0, "Smallint", 0, "tinyint", 0, "Bit", 0, "varchar", "'A'", "nvarchar", "'A'", "char", "'A'", "numeric", 0,"decimal", 0, "date", "'01/01/2000'", "datetime", "'01/01/2000'", "")</f>
        <v/>
      </c>
      <c r="D200" s="3">
        <f>'Column Definition'!C206</f>
        <v>0</v>
      </c>
      <c r="E200" s="9" t="str">
        <f t="shared" si="24"/>
        <v>, 0</v>
      </c>
      <c r="F200" s="9" t="str">
        <f t="shared" si="25"/>
        <v>, s.0</v>
      </c>
      <c r="G200" s="3" t="str">
        <f t="shared" si="27"/>
        <v>OR (s.0 &lt;&gt; t.0 OR ( t.0 Is Null AND s.0 Is Not Null) OR ( t.0 Is not Null AND s.0 Is  Null))</v>
      </c>
      <c r="H200" s="9" t="str">
        <f t="shared" si="26"/>
        <v>, t.0 = s.0</v>
      </c>
    </row>
    <row r="201" spans="2:8" x14ac:dyDescent="0.25">
      <c r="B201" s="9">
        <f>'Column Definition'!F207</f>
        <v>0</v>
      </c>
      <c r="C201" s="14" t="str">
        <f>_xlfn.SWITCH(Table4[[#This Row],[Column1]],"int", 0, "Smallint", 0, "tinyint", 0, "Bit", 0, "varchar", "'A'", "nvarchar", "'A'", "char", "'A'", "numeric", 0,"decimal", 0, "date", "'01/01/2000'", "datetime", "'01/01/2000'", "")</f>
        <v/>
      </c>
      <c r="D201" s="3">
        <f>'Column Definition'!C207</f>
        <v>0</v>
      </c>
      <c r="E201" s="9" t="str">
        <f t="shared" si="24"/>
        <v>, 0</v>
      </c>
      <c r="F201" s="9" t="str">
        <f t="shared" si="25"/>
        <v>, s.0</v>
      </c>
      <c r="G201" s="3" t="str">
        <f t="shared" si="27"/>
        <v>OR (s.0 &lt;&gt; t.0 OR ( t.0 Is Null AND s.0 Is Not Null) OR ( t.0 Is not Null AND s.0 Is  Null))</v>
      </c>
      <c r="H201" s="9" t="str">
        <f t="shared" si="26"/>
        <v>, t.0 = s.0</v>
      </c>
    </row>
    <row r="202" spans="2:8" x14ac:dyDescent="0.25">
      <c r="B202" s="9">
        <f>'Column Definition'!F208</f>
        <v>0</v>
      </c>
      <c r="C202" s="14" t="str">
        <f>_xlfn.SWITCH(Table4[[#This Row],[Column1]],"int", 0, "Smallint", 0, "tinyint", 0, "Bit", 0, "varchar", "'A'", "nvarchar", "'A'", "char", "'A'", "numeric", 0,"decimal", 0, "date", "'01/01/2000'", "datetime", "'01/01/2000'", "")</f>
        <v/>
      </c>
      <c r="D202" s="3">
        <f>'Column Definition'!C208</f>
        <v>0</v>
      </c>
      <c r="E202" s="9" t="str">
        <f t="shared" si="24"/>
        <v>, 0</v>
      </c>
      <c r="F202" s="9" t="str">
        <f t="shared" si="25"/>
        <v>, s.0</v>
      </c>
      <c r="G202" s="3" t="str">
        <f t="shared" si="27"/>
        <v>OR (s.0 &lt;&gt; t.0 OR ( t.0 Is Null AND s.0 Is Not Null) OR ( t.0 Is not Null AND s.0 Is  Null))</v>
      </c>
      <c r="H202" s="9" t="str">
        <f t="shared" si="26"/>
        <v>, t.0 = s.0</v>
      </c>
    </row>
    <row r="203" spans="2:8" x14ac:dyDescent="0.25">
      <c r="B203" s="9">
        <f>'Column Definition'!F209</f>
        <v>0</v>
      </c>
      <c r="C203" s="14" t="str">
        <f>_xlfn.SWITCH(Table4[[#This Row],[Column1]],"int", 0, "Smallint", 0, "tinyint", 0, "Bit", 0, "varchar", "'A'", "nvarchar", "'A'", "char", "'A'", "numeric", 0,"decimal", 0, "date", "'01/01/2000'", "datetime", "'01/01/2000'", "")</f>
        <v/>
      </c>
      <c r="D203" s="3">
        <f>'Column Definition'!C209</f>
        <v>0</v>
      </c>
      <c r="E203" s="9" t="str">
        <f t="shared" si="24"/>
        <v>, 0</v>
      </c>
      <c r="F203" s="9" t="str">
        <f t="shared" si="25"/>
        <v>, s.0</v>
      </c>
      <c r="G203" s="3" t="str">
        <f t="shared" si="27"/>
        <v>OR (s.0 &lt;&gt; t.0 OR ( t.0 Is Null AND s.0 Is Not Null) OR ( t.0 Is not Null AND s.0 Is  Null))</v>
      </c>
      <c r="H203" s="9" t="str">
        <f t="shared" si="26"/>
        <v>, t.0 = s.0</v>
      </c>
    </row>
    <row r="204" spans="2:8" x14ac:dyDescent="0.25">
      <c r="B204" s="9">
        <f>'Column Definition'!F210</f>
        <v>0</v>
      </c>
      <c r="C204" s="14" t="str">
        <f>_xlfn.SWITCH(Table4[[#This Row],[Column1]],"int", 0, "Smallint", 0, "tinyint", 0, "Bit", 0, "varchar", "'A'", "nvarchar", "'A'", "char", "'A'", "numeric", 0,"decimal", 0, "date", "'01/01/2000'", "datetime", "'01/01/2000'", "")</f>
        <v/>
      </c>
      <c r="D204" s="3">
        <f>'Column Definition'!C210</f>
        <v>0</v>
      </c>
      <c r="E204" s="9" t="str">
        <f t="shared" si="24"/>
        <v>, 0</v>
      </c>
      <c r="F204" s="9" t="str">
        <f t="shared" si="25"/>
        <v>, s.0</v>
      </c>
      <c r="G204" s="3" t="str">
        <f t="shared" si="27"/>
        <v>OR (s.0 &lt;&gt; t.0 OR ( t.0 Is Null AND s.0 Is Not Null) OR ( t.0 Is not Null AND s.0 Is  Null))</v>
      </c>
      <c r="H204" s="9" t="str">
        <f t="shared" si="26"/>
        <v>, t.0 = s.0</v>
      </c>
    </row>
    <row r="205" spans="2:8" x14ac:dyDescent="0.25">
      <c r="B205" s="9">
        <f>'Column Definition'!F211</f>
        <v>0</v>
      </c>
      <c r="C205" s="14" t="str">
        <f>_xlfn.SWITCH(Table4[[#This Row],[Column1]],"int", 0, "Smallint", 0, "tinyint", 0, "Bit", 0, "varchar", "'A'", "nvarchar", "'A'", "char", "'A'", "numeric", 0,"decimal", 0, "date", "'01/01/2000'", "datetime", "'01/01/2000'", "")</f>
        <v/>
      </c>
      <c r="D205" s="3">
        <f>'Column Definition'!C211</f>
        <v>0</v>
      </c>
      <c r="E205" s="9" t="str">
        <f t="shared" si="24"/>
        <v>, 0</v>
      </c>
      <c r="F205" s="9" t="str">
        <f t="shared" si="25"/>
        <v>, s.0</v>
      </c>
      <c r="G205" s="3" t="str">
        <f t="shared" si="27"/>
        <v>OR (s.0 &lt;&gt; t.0 OR ( t.0 Is Null AND s.0 Is Not Null) OR ( t.0 Is not Null AND s.0 Is  Null))</v>
      </c>
      <c r="H205" s="9" t="str">
        <f t="shared" si="26"/>
        <v>, t.0 = s.0</v>
      </c>
    </row>
    <row r="206" spans="2:8" x14ac:dyDescent="0.25">
      <c r="B206" s="9">
        <f>'Column Definition'!F212</f>
        <v>0</v>
      </c>
      <c r="C206" s="14" t="str">
        <f>_xlfn.SWITCH(Table4[[#This Row],[Column1]],"int", 0, "Smallint", 0, "tinyint", 0, "Bit", 0, "varchar", "'A'", "nvarchar", "'A'", "char", "'A'", "numeric", 0,"decimal", 0, "date", "'01/01/2000'", "datetime", "'01/01/2000'", "")</f>
        <v/>
      </c>
      <c r="D206" s="3">
        <f>'Column Definition'!C212</f>
        <v>0</v>
      </c>
      <c r="E206" s="9" t="str">
        <f t="shared" si="24"/>
        <v>, 0</v>
      </c>
      <c r="F206" s="9" t="str">
        <f t="shared" si="25"/>
        <v>, s.0</v>
      </c>
      <c r="G206" s="3" t="str">
        <f t="shared" si="27"/>
        <v>OR (s.0 &lt;&gt; t.0 OR ( t.0 Is Null AND s.0 Is Not Null) OR ( t.0 Is not Null AND s.0 Is  Null))</v>
      </c>
      <c r="H206" s="9" t="str">
        <f t="shared" si="26"/>
        <v>, t.0 = s.0</v>
      </c>
    </row>
    <row r="207" spans="2:8" x14ac:dyDescent="0.25">
      <c r="B207" s="9">
        <f>'Column Definition'!F213</f>
        <v>0</v>
      </c>
      <c r="C207" s="14" t="str">
        <f>_xlfn.SWITCH(Table4[[#This Row],[Column1]],"int", 0, "Smallint", 0, "tinyint", 0, "Bit", 0, "varchar", "'A'", "nvarchar", "'A'", "char", "'A'", "numeric", 0,"decimal", 0, "date", "'01/01/2000'", "datetime", "'01/01/2000'", "")</f>
        <v/>
      </c>
      <c r="D207" s="3">
        <f>'Column Definition'!C213</f>
        <v>0</v>
      </c>
      <c r="E207" s="9" t="str">
        <f t="shared" si="24"/>
        <v>, 0</v>
      </c>
      <c r="F207" s="9" t="str">
        <f t="shared" si="25"/>
        <v>, s.0</v>
      </c>
      <c r="G207" s="3" t="str">
        <f t="shared" si="27"/>
        <v>OR (s.0 &lt;&gt; t.0 OR ( t.0 Is Null AND s.0 Is Not Null) OR ( t.0 Is not Null AND s.0 Is  Null))</v>
      </c>
      <c r="H207" s="9" t="str">
        <f t="shared" si="26"/>
        <v>, t.0 = s.0</v>
      </c>
    </row>
    <row r="208" spans="2:8" x14ac:dyDescent="0.25">
      <c r="B208" s="9">
        <f>'Column Definition'!F214</f>
        <v>0</v>
      </c>
      <c r="C208" s="14" t="str">
        <f>_xlfn.SWITCH(Table4[[#This Row],[Column1]],"int", 0, "Smallint", 0, "tinyint", 0, "Bit", 0, "varchar", "'A'", "nvarchar", "'A'", "char", "'A'", "numeric", 0,"decimal", 0, "date", "'01/01/2000'", "datetime", "'01/01/2000'", "")</f>
        <v/>
      </c>
      <c r="D208" s="3">
        <f>'Column Definition'!C214</f>
        <v>0</v>
      </c>
      <c r="E208" s="9" t="str">
        <f t="shared" si="24"/>
        <v>, 0</v>
      </c>
      <c r="F208" s="9" t="str">
        <f t="shared" si="25"/>
        <v>, s.0</v>
      </c>
      <c r="G208" s="3" t="str">
        <f t="shared" si="27"/>
        <v>OR (s.0 &lt;&gt; t.0 OR ( t.0 Is Null AND s.0 Is Not Null) OR ( t.0 Is not Null AND s.0 Is  Null))</v>
      </c>
      <c r="H208" s="9" t="str">
        <f t="shared" si="26"/>
        <v>, t.0 = s.0</v>
      </c>
    </row>
    <row r="209" spans="2:8" x14ac:dyDescent="0.25">
      <c r="B209" s="9">
        <f>'Column Definition'!F215</f>
        <v>0</v>
      </c>
      <c r="C209" s="14" t="str">
        <f>_xlfn.SWITCH(Table4[[#This Row],[Column1]],"int", 0, "Smallint", 0, "tinyint", 0, "Bit", 0, "varchar", "'A'", "nvarchar", "'A'", "char", "'A'", "numeric", 0,"decimal", 0, "date", "'01/01/2000'", "datetime", "'01/01/2000'", "")</f>
        <v/>
      </c>
      <c r="D209" s="3">
        <f>'Column Definition'!C215</f>
        <v>0</v>
      </c>
      <c r="E209" s="9" t="str">
        <f t="shared" si="24"/>
        <v>, 0</v>
      </c>
      <c r="F209" s="9" t="str">
        <f t="shared" si="25"/>
        <v>, s.0</v>
      </c>
      <c r="G209" s="3" t="str">
        <f t="shared" si="27"/>
        <v>OR (s.0 &lt;&gt; t.0 OR ( t.0 Is Null AND s.0 Is Not Null) OR ( t.0 Is not Null AND s.0 Is  Null))</v>
      </c>
      <c r="H209" s="9" t="str">
        <f t="shared" si="26"/>
        <v>, t.0 = s.0</v>
      </c>
    </row>
    <row r="210" spans="2:8" x14ac:dyDescent="0.25">
      <c r="B210" s="9">
        <f>'Column Definition'!F216</f>
        <v>0</v>
      </c>
      <c r="C210" s="14" t="str">
        <f>_xlfn.SWITCH(Table4[[#This Row],[Column1]],"int", 0, "Smallint", 0, "tinyint", 0, "Bit", 0, "varchar", "'A'", "nvarchar", "'A'", "char", "'A'", "numeric", 0,"decimal", 0, "date", "'01/01/2000'", "datetime", "'01/01/2000'", "")</f>
        <v/>
      </c>
      <c r="D210" s="3">
        <f>'Column Definition'!C216</f>
        <v>0</v>
      </c>
      <c r="E210" s="9" t="str">
        <f t="shared" si="24"/>
        <v>, 0</v>
      </c>
      <c r="F210" s="9" t="str">
        <f t="shared" si="25"/>
        <v>, s.0</v>
      </c>
      <c r="G210" s="3" t="str">
        <f t="shared" si="27"/>
        <v>OR (s.0 &lt;&gt; t.0 OR ( t.0 Is Null AND s.0 Is Not Null) OR ( t.0 Is not Null AND s.0 Is  Null))</v>
      </c>
      <c r="H210" s="9" t="str">
        <f t="shared" si="26"/>
        <v>, t.0 = s.0</v>
      </c>
    </row>
    <row r="211" spans="2:8" x14ac:dyDescent="0.25">
      <c r="B211" s="9">
        <f>'Column Definition'!F217</f>
        <v>0</v>
      </c>
      <c r="C211" s="14" t="str">
        <f>_xlfn.SWITCH(Table4[[#This Row],[Column1]],"int", 0, "Smallint", 0, "tinyint", 0, "Bit", 0, "varchar", "'A'", "nvarchar", "'A'", "char", "'A'", "numeric", 0,"decimal", 0, "date", "'01/01/2000'", "datetime", "'01/01/2000'", "")</f>
        <v/>
      </c>
      <c r="D211" s="3">
        <f>'Column Definition'!C217</f>
        <v>0</v>
      </c>
      <c r="E211" s="9" t="str">
        <f t="shared" si="24"/>
        <v>, 0</v>
      </c>
      <c r="F211" s="9" t="str">
        <f t="shared" si="25"/>
        <v>, s.0</v>
      </c>
      <c r="G211" s="3" t="str">
        <f t="shared" si="27"/>
        <v>OR (s.0 &lt;&gt; t.0 OR ( t.0 Is Null AND s.0 Is Not Null) OR ( t.0 Is not Null AND s.0 Is  Null))</v>
      </c>
      <c r="H211" s="9" t="str">
        <f t="shared" si="26"/>
        <v>, t.0 = s.0</v>
      </c>
    </row>
    <row r="212" spans="2:8" x14ac:dyDescent="0.25">
      <c r="B212" s="9">
        <f>'Column Definition'!F218</f>
        <v>0</v>
      </c>
      <c r="C212" s="14" t="str">
        <f>_xlfn.SWITCH(Table4[[#This Row],[Column1]],"int", 0, "Smallint", 0, "tinyint", 0, "Bit", 0, "varchar", "'A'", "nvarchar", "'A'", "char", "'A'", "numeric", 0,"decimal", 0, "date", "'01/01/2000'", "datetime", "'01/01/2000'", "")</f>
        <v/>
      </c>
      <c r="D212" s="3">
        <f>'Column Definition'!C218</f>
        <v>0</v>
      </c>
      <c r="E212" s="9" t="str">
        <f t="shared" si="24"/>
        <v>, 0</v>
      </c>
      <c r="F212" s="9" t="str">
        <f t="shared" si="25"/>
        <v>, s.0</v>
      </c>
      <c r="G212" s="3" t="str">
        <f t="shared" si="27"/>
        <v>OR (s.0 &lt;&gt; t.0 OR ( t.0 Is Null AND s.0 Is Not Null) OR ( t.0 Is not Null AND s.0 Is  Null))</v>
      </c>
      <c r="H212" s="9" t="str">
        <f t="shared" si="26"/>
        <v>, t.0 = s.0</v>
      </c>
    </row>
    <row r="213" spans="2:8" x14ac:dyDescent="0.25">
      <c r="B213" s="9">
        <f>'Column Definition'!F219</f>
        <v>0</v>
      </c>
      <c r="C213" s="14" t="str">
        <f>_xlfn.SWITCH(Table4[[#This Row],[Column1]],"int", 0, "Smallint", 0, "tinyint", 0, "Bit", 0, "varchar", "'A'", "nvarchar", "'A'", "char", "'A'", "numeric", 0,"decimal", 0, "date", "'01/01/2000'", "datetime", "'01/01/2000'", "")</f>
        <v/>
      </c>
      <c r="D213" s="3">
        <f>'Column Definition'!C219</f>
        <v>0</v>
      </c>
      <c r="E213" s="9" t="str">
        <f t="shared" si="24"/>
        <v>, 0</v>
      </c>
      <c r="F213" s="9" t="str">
        <f t="shared" si="25"/>
        <v>, s.0</v>
      </c>
      <c r="G213" s="3" t="str">
        <f t="shared" si="27"/>
        <v>OR (s.0 &lt;&gt; t.0 OR ( t.0 Is Null AND s.0 Is Not Null) OR ( t.0 Is not Null AND s.0 Is  Null))</v>
      </c>
      <c r="H213" s="9" t="str">
        <f t="shared" si="26"/>
        <v>, t.0 = s.0</v>
      </c>
    </row>
    <row r="214" spans="2:8" x14ac:dyDescent="0.25">
      <c r="B214" s="9">
        <f>'Column Definition'!F220</f>
        <v>0</v>
      </c>
      <c r="C214" s="14" t="str">
        <f>_xlfn.SWITCH(Table4[[#This Row],[Column1]],"int", 0, "Smallint", 0, "tinyint", 0, "Bit", 0, "varchar", "'A'", "nvarchar", "'A'", "char", "'A'", "numeric", 0,"decimal", 0, "date", "'01/01/2000'", "datetime", "'01/01/2000'", "")</f>
        <v/>
      </c>
      <c r="D214" s="3">
        <f>'Column Definition'!C220</f>
        <v>0</v>
      </c>
      <c r="E214" s="9" t="str">
        <f t="shared" si="24"/>
        <v>, 0</v>
      </c>
      <c r="F214" s="9" t="str">
        <f t="shared" si="25"/>
        <v>, s.0</v>
      </c>
      <c r="G214" s="3" t="str">
        <f t="shared" si="27"/>
        <v>OR (s.0 &lt;&gt; t.0 OR ( t.0 Is Null AND s.0 Is Not Null) OR ( t.0 Is not Null AND s.0 Is  Null))</v>
      </c>
      <c r="H214" s="9" t="str">
        <f t="shared" si="26"/>
        <v>, t.0 = s.0</v>
      </c>
    </row>
    <row r="215" spans="2:8" x14ac:dyDescent="0.25">
      <c r="B215" s="9">
        <f>'Column Definition'!F221</f>
        <v>0</v>
      </c>
      <c r="C215" s="14" t="str">
        <f>_xlfn.SWITCH(Table4[[#This Row],[Column1]],"int", 0, "Smallint", 0, "tinyint", 0, "Bit", 0, "varchar", "'A'", "nvarchar", "'A'", "char", "'A'", "numeric", 0,"decimal", 0, "date", "'01/01/2000'", "datetime", "'01/01/2000'", "")</f>
        <v/>
      </c>
      <c r="D215" s="3">
        <f>'Column Definition'!C221</f>
        <v>0</v>
      </c>
      <c r="E215" s="9" t="str">
        <f t="shared" si="24"/>
        <v>, 0</v>
      </c>
      <c r="F215" s="9" t="str">
        <f t="shared" si="25"/>
        <v>, s.0</v>
      </c>
      <c r="G215" s="3" t="str">
        <f t="shared" si="27"/>
        <v>OR (s.0 &lt;&gt; t.0 OR ( t.0 Is Null AND s.0 Is Not Null) OR ( t.0 Is not Null AND s.0 Is  Null))</v>
      </c>
      <c r="H215" s="9" t="str">
        <f t="shared" si="26"/>
        <v>, t.0 = s.0</v>
      </c>
    </row>
    <row r="216" spans="2:8" x14ac:dyDescent="0.25">
      <c r="B216" s="9">
        <f>'Column Definition'!F222</f>
        <v>0</v>
      </c>
      <c r="C216" s="14" t="str">
        <f>_xlfn.SWITCH(Table4[[#This Row],[Column1]],"int", 0, "Smallint", 0, "tinyint", 0, "Bit", 0, "varchar", "'A'", "nvarchar", "'A'", "char", "'A'", "numeric", 0,"decimal", 0, "date", "'01/01/2000'", "datetime", "'01/01/2000'", "")</f>
        <v/>
      </c>
      <c r="D216" s="3">
        <f>'Column Definition'!C222</f>
        <v>0</v>
      </c>
      <c r="E216" s="9" t="str">
        <f t="shared" ref="E216:E247" si="28">", "&amp;D216</f>
        <v>, 0</v>
      </c>
      <c r="F216" s="9" t="str">
        <f t="shared" ref="F216:F247" si="29">", s."&amp;D216</f>
        <v>, s.0</v>
      </c>
      <c r="G216" s="3" t="str">
        <f t="shared" si="27"/>
        <v>OR (s.0 &lt;&gt; t.0 OR ( t.0 Is Null AND s.0 Is Not Null) OR ( t.0 Is not Null AND s.0 Is  Null))</v>
      </c>
      <c r="H216" s="9" t="str">
        <f t="shared" ref="H216:H247" si="30">", t."&amp; D216  &amp; " = s." &amp; D216</f>
        <v>, t.0 = s.0</v>
      </c>
    </row>
    <row r="217" spans="2:8" x14ac:dyDescent="0.25">
      <c r="B217" s="9">
        <f>'Column Definition'!F223</f>
        <v>0</v>
      </c>
      <c r="C217" s="14" t="str">
        <f>_xlfn.SWITCH(Table4[[#This Row],[Column1]],"int", 0, "Smallint", 0, "tinyint", 0, "Bit", 0, "varchar", "'A'", "nvarchar", "'A'", "char", "'A'", "numeric", 0,"decimal", 0, "date", "'01/01/2000'", "datetime", "'01/01/2000'", "")</f>
        <v/>
      </c>
      <c r="D217" s="3">
        <f>'Column Definition'!C223</f>
        <v>0</v>
      </c>
      <c r="E217" s="9" t="str">
        <f t="shared" si="28"/>
        <v>, 0</v>
      </c>
      <c r="F217" s="9" t="str">
        <f t="shared" si="29"/>
        <v>, s.0</v>
      </c>
      <c r="G217" s="3" t="str">
        <f t="shared" si="27"/>
        <v>OR (s.0 &lt;&gt; t.0 OR ( t.0 Is Null AND s.0 Is Not Null) OR ( t.0 Is not Null AND s.0 Is  Null))</v>
      </c>
      <c r="H217" s="9" t="str">
        <f t="shared" si="30"/>
        <v>, t.0 = s.0</v>
      </c>
    </row>
    <row r="218" spans="2:8" x14ac:dyDescent="0.25">
      <c r="B218" s="9">
        <f>'Column Definition'!F224</f>
        <v>0</v>
      </c>
      <c r="C218" s="14" t="str">
        <f>_xlfn.SWITCH(Table4[[#This Row],[Column1]],"int", 0, "Smallint", 0, "tinyint", 0, "Bit", 0, "varchar", "'A'", "nvarchar", "'A'", "char", "'A'", "numeric", 0,"decimal", 0, "date", "'01/01/2000'", "datetime", "'01/01/2000'", "")</f>
        <v/>
      </c>
      <c r="D218" s="3">
        <f>'Column Definition'!C224</f>
        <v>0</v>
      </c>
      <c r="E218" s="9" t="str">
        <f t="shared" si="28"/>
        <v>, 0</v>
      </c>
      <c r="F218" s="9" t="str">
        <f t="shared" si="29"/>
        <v>, s.0</v>
      </c>
      <c r="G218" s="3" t="str">
        <f t="shared" si="27"/>
        <v>OR (s.0 &lt;&gt; t.0 OR ( t.0 Is Null AND s.0 Is Not Null) OR ( t.0 Is not Null AND s.0 Is  Null))</v>
      </c>
      <c r="H218" s="9" t="str">
        <f t="shared" si="30"/>
        <v>, t.0 = s.0</v>
      </c>
    </row>
    <row r="219" spans="2:8" x14ac:dyDescent="0.25">
      <c r="B219" s="9">
        <f>'Column Definition'!F225</f>
        <v>0</v>
      </c>
      <c r="C219" s="14" t="str">
        <f>_xlfn.SWITCH(Table4[[#This Row],[Column1]],"int", 0, "Smallint", 0, "tinyint", 0, "Bit", 0, "varchar", "'A'", "nvarchar", "'A'", "char", "'A'", "numeric", 0,"decimal", 0, "date", "'01/01/2000'", "datetime", "'01/01/2000'", "")</f>
        <v/>
      </c>
      <c r="D219" s="3">
        <f>'Column Definition'!C225</f>
        <v>0</v>
      </c>
      <c r="E219" s="9" t="str">
        <f t="shared" si="28"/>
        <v>, 0</v>
      </c>
      <c r="F219" s="9" t="str">
        <f t="shared" si="29"/>
        <v>, s.0</v>
      </c>
      <c r="G219" s="3" t="str">
        <f t="shared" si="27"/>
        <v>OR (s.0 &lt;&gt; t.0 OR ( t.0 Is Null AND s.0 Is Not Null) OR ( t.0 Is not Null AND s.0 Is  Null))</v>
      </c>
      <c r="H219" s="9" t="str">
        <f t="shared" si="30"/>
        <v>, t.0 = s.0</v>
      </c>
    </row>
    <row r="220" spans="2:8" x14ac:dyDescent="0.25">
      <c r="B220" s="9">
        <f>'Column Definition'!F226</f>
        <v>0</v>
      </c>
      <c r="C220" s="14" t="str">
        <f>_xlfn.SWITCH(Table4[[#This Row],[Column1]],"int", 0, "Smallint", 0, "tinyint", 0, "Bit", 0, "varchar", "'A'", "nvarchar", "'A'", "char", "'A'", "numeric", 0,"decimal", 0, "date", "'01/01/2000'", "datetime", "'01/01/2000'", "")</f>
        <v/>
      </c>
      <c r="D220" s="3">
        <f>'Column Definition'!C226</f>
        <v>0</v>
      </c>
      <c r="E220" s="9" t="str">
        <f t="shared" si="28"/>
        <v>, 0</v>
      </c>
      <c r="F220" s="9" t="str">
        <f t="shared" si="29"/>
        <v>, s.0</v>
      </c>
      <c r="G220" s="3" t="str">
        <f t="shared" si="27"/>
        <v>OR (s.0 &lt;&gt; t.0 OR ( t.0 Is Null AND s.0 Is Not Null) OR ( t.0 Is not Null AND s.0 Is  Null))</v>
      </c>
      <c r="H220" s="9" t="str">
        <f t="shared" si="30"/>
        <v>, t.0 = s.0</v>
      </c>
    </row>
    <row r="221" spans="2:8" x14ac:dyDescent="0.25">
      <c r="B221" s="9">
        <f>'Column Definition'!F227</f>
        <v>0</v>
      </c>
      <c r="C221" s="14" t="str">
        <f>_xlfn.SWITCH(Table4[[#This Row],[Column1]],"int", 0, "Smallint", 0, "tinyint", 0, "Bit", 0, "varchar", "'A'", "nvarchar", "'A'", "char", "'A'", "numeric", 0,"decimal", 0, "date", "'01/01/2000'", "datetime", "'01/01/2000'", "")</f>
        <v/>
      </c>
      <c r="D221" s="3">
        <f>'Column Definition'!C227</f>
        <v>0</v>
      </c>
      <c r="E221" s="9" t="str">
        <f t="shared" si="28"/>
        <v>, 0</v>
      </c>
      <c r="F221" s="9" t="str">
        <f t="shared" si="29"/>
        <v>, s.0</v>
      </c>
      <c r="G221" s="3" t="str">
        <f t="shared" si="27"/>
        <v>OR (s.0 &lt;&gt; t.0 OR ( t.0 Is Null AND s.0 Is Not Null) OR ( t.0 Is not Null AND s.0 Is  Null))</v>
      </c>
      <c r="H221" s="9" t="str">
        <f t="shared" si="30"/>
        <v>, t.0 = s.0</v>
      </c>
    </row>
    <row r="222" spans="2:8" x14ac:dyDescent="0.25">
      <c r="B222" s="9">
        <f>'Column Definition'!F228</f>
        <v>0</v>
      </c>
      <c r="C222" s="14" t="str">
        <f>_xlfn.SWITCH(Table4[[#This Row],[Column1]],"int", 0, "Smallint", 0, "tinyint", 0, "Bit", 0, "varchar", "'A'", "nvarchar", "'A'", "char", "'A'", "numeric", 0,"decimal", 0, "date", "'01/01/2000'", "datetime", "'01/01/2000'", "")</f>
        <v/>
      </c>
      <c r="D222" s="3">
        <f>'Column Definition'!C228</f>
        <v>0</v>
      </c>
      <c r="E222" s="9" t="str">
        <f t="shared" si="28"/>
        <v>, 0</v>
      </c>
      <c r="F222" s="9" t="str">
        <f t="shared" si="29"/>
        <v>, s.0</v>
      </c>
      <c r="G222" s="3" t="str">
        <f t="shared" si="27"/>
        <v>OR (s.0 &lt;&gt; t.0 OR ( t.0 Is Null AND s.0 Is Not Null) OR ( t.0 Is not Null AND s.0 Is  Null))</v>
      </c>
      <c r="H222" s="9" t="str">
        <f t="shared" si="30"/>
        <v>, t.0 = s.0</v>
      </c>
    </row>
    <row r="223" spans="2:8" x14ac:dyDescent="0.25">
      <c r="B223" s="9">
        <f>'Column Definition'!F229</f>
        <v>0</v>
      </c>
      <c r="C223" s="14" t="str">
        <f>_xlfn.SWITCH(Table4[[#This Row],[Column1]],"int", 0, "Smallint", 0, "tinyint", 0, "Bit", 0, "varchar", "'A'", "nvarchar", "'A'", "char", "'A'", "numeric", 0,"decimal", 0, "date", "'01/01/2000'", "datetime", "'01/01/2000'", "")</f>
        <v/>
      </c>
      <c r="D223" s="3">
        <f>'Column Definition'!C229</f>
        <v>0</v>
      </c>
      <c r="E223" s="9" t="str">
        <f t="shared" si="28"/>
        <v>, 0</v>
      </c>
      <c r="F223" s="9" t="str">
        <f t="shared" si="29"/>
        <v>, s.0</v>
      </c>
      <c r="G223" s="3" t="str">
        <f t="shared" si="27"/>
        <v>OR (s.0 &lt;&gt; t.0 OR ( t.0 Is Null AND s.0 Is Not Null) OR ( t.0 Is not Null AND s.0 Is  Null))</v>
      </c>
      <c r="H223" s="9" t="str">
        <f t="shared" si="30"/>
        <v>, t.0 = s.0</v>
      </c>
    </row>
    <row r="224" spans="2:8" x14ac:dyDescent="0.25">
      <c r="B224" s="9">
        <f>'Column Definition'!F230</f>
        <v>0</v>
      </c>
      <c r="C224" s="14" t="str">
        <f>_xlfn.SWITCH(Table4[[#This Row],[Column1]],"int", 0, "Smallint", 0, "tinyint", 0, "Bit", 0, "varchar", "'A'", "nvarchar", "'A'", "char", "'A'", "numeric", 0,"decimal", 0, "date", "'01/01/2000'", "datetime", "'01/01/2000'", "")</f>
        <v/>
      </c>
      <c r="D224" s="3">
        <f>'Column Definition'!C230</f>
        <v>0</v>
      </c>
      <c r="E224" s="9" t="str">
        <f t="shared" si="28"/>
        <v>, 0</v>
      </c>
      <c r="F224" s="9" t="str">
        <f t="shared" si="29"/>
        <v>, s.0</v>
      </c>
      <c r="G224" s="3" t="str">
        <f t="shared" si="27"/>
        <v>OR (s.0 &lt;&gt; t.0 OR ( t.0 Is Null AND s.0 Is Not Null) OR ( t.0 Is not Null AND s.0 Is  Null))</v>
      </c>
      <c r="H224" s="9" t="str">
        <f t="shared" si="30"/>
        <v>, t.0 = s.0</v>
      </c>
    </row>
    <row r="225" spans="2:8" x14ac:dyDescent="0.25">
      <c r="B225" s="9">
        <f>'Column Definition'!F231</f>
        <v>0</v>
      </c>
      <c r="C225" s="14" t="str">
        <f>_xlfn.SWITCH(Table4[[#This Row],[Column1]],"int", 0, "Smallint", 0, "tinyint", 0, "Bit", 0, "varchar", "'A'", "nvarchar", "'A'", "char", "'A'", "numeric", 0,"decimal", 0, "date", "'01/01/2000'", "datetime", "'01/01/2000'", "")</f>
        <v/>
      </c>
      <c r="D225" s="3">
        <f>'Column Definition'!C231</f>
        <v>0</v>
      </c>
      <c r="E225" s="9" t="str">
        <f t="shared" si="28"/>
        <v>, 0</v>
      </c>
      <c r="F225" s="9" t="str">
        <f t="shared" si="29"/>
        <v>, s.0</v>
      </c>
      <c r="G225" s="3" t="str">
        <f t="shared" si="27"/>
        <v>OR (s.0 &lt;&gt; t.0 OR ( t.0 Is Null AND s.0 Is Not Null) OR ( t.0 Is not Null AND s.0 Is  Null))</v>
      </c>
      <c r="H225" s="9" t="str">
        <f t="shared" si="30"/>
        <v>, t.0 = s.0</v>
      </c>
    </row>
    <row r="226" spans="2:8" x14ac:dyDescent="0.25">
      <c r="B226" s="9">
        <f>'Column Definition'!F232</f>
        <v>0</v>
      </c>
      <c r="C226" s="14" t="str">
        <f>_xlfn.SWITCH(Table4[[#This Row],[Column1]],"int", 0, "Smallint", 0, "tinyint", 0, "Bit", 0, "varchar", "'A'", "nvarchar", "'A'", "char", "'A'", "numeric", 0,"decimal", 0, "date", "'01/01/2000'", "datetime", "'01/01/2000'", "")</f>
        <v/>
      </c>
      <c r="D226" s="3">
        <f>'Column Definition'!C232</f>
        <v>0</v>
      </c>
      <c r="E226" s="9" t="str">
        <f t="shared" si="28"/>
        <v>, 0</v>
      </c>
      <c r="F226" s="9" t="str">
        <f t="shared" si="29"/>
        <v>, s.0</v>
      </c>
      <c r="G226" s="3" t="str">
        <f t="shared" si="27"/>
        <v>OR (s.0 &lt;&gt; t.0 OR ( t.0 Is Null AND s.0 Is Not Null) OR ( t.0 Is not Null AND s.0 Is  Null))</v>
      </c>
      <c r="H226" s="9" t="str">
        <f t="shared" si="30"/>
        <v>, t.0 = s.0</v>
      </c>
    </row>
    <row r="227" spans="2:8" x14ac:dyDescent="0.25">
      <c r="B227" s="9">
        <f>'Column Definition'!F233</f>
        <v>0</v>
      </c>
      <c r="C227" s="14" t="str">
        <f>_xlfn.SWITCH(Table4[[#This Row],[Column1]],"int", 0, "Smallint", 0, "tinyint", 0, "Bit", 0, "varchar", "'A'", "nvarchar", "'A'", "char", "'A'", "numeric", 0,"decimal", 0, "date", "'01/01/2000'", "datetime", "'01/01/2000'", "")</f>
        <v/>
      </c>
      <c r="D227" s="3">
        <f>'Column Definition'!C233</f>
        <v>0</v>
      </c>
      <c r="E227" s="9" t="str">
        <f t="shared" si="28"/>
        <v>, 0</v>
      </c>
      <c r="F227" s="9" t="str">
        <f t="shared" si="29"/>
        <v>, s.0</v>
      </c>
      <c r="G227" s="3" t="str">
        <f t="shared" si="27"/>
        <v>OR (s.0 &lt;&gt; t.0 OR ( t.0 Is Null AND s.0 Is Not Null) OR ( t.0 Is not Null AND s.0 Is  Null))</v>
      </c>
      <c r="H227" s="9" t="str">
        <f t="shared" si="30"/>
        <v>, t.0 = s.0</v>
      </c>
    </row>
    <row r="228" spans="2:8" x14ac:dyDescent="0.25">
      <c r="B228" s="9">
        <f>'Column Definition'!F234</f>
        <v>0</v>
      </c>
      <c r="C228" s="14" t="str">
        <f>_xlfn.SWITCH(Table4[[#This Row],[Column1]],"int", 0, "Smallint", 0, "tinyint", 0, "Bit", 0, "varchar", "'A'", "nvarchar", "'A'", "char", "'A'", "numeric", 0,"decimal", 0, "date", "'01/01/2000'", "datetime", "'01/01/2000'", "")</f>
        <v/>
      </c>
      <c r="D228" s="3">
        <f>'Column Definition'!C234</f>
        <v>0</v>
      </c>
      <c r="E228" s="9" t="str">
        <f t="shared" si="28"/>
        <v>, 0</v>
      </c>
      <c r="F228" s="9" t="str">
        <f t="shared" si="29"/>
        <v>, s.0</v>
      </c>
      <c r="G228" s="3" t="str">
        <f t="shared" si="27"/>
        <v>OR (s.0 &lt;&gt; t.0 OR ( t.0 Is Null AND s.0 Is Not Null) OR ( t.0 Is not Null AND s.0 Is  Null))</v>
      </c>
      <c r="H228" s="9" t="str">
        <f t="shared" si="30"/>
        <v>, t.0 = s.0</v>
      </c>
    </row>
    <row r="229" spans="2:8" x14ac:dyDescent="0.25">
      <c r="B229" s="9">
        <f>'Column Definition'!F235</f>
        <v>0</v>
      </c>
      <c r="C229" s="14" t="str">
        <f>_xlfn.SWITCH(Table4[[#This Row],[Column1]],"int", 0, "Smallint", 0, "tinyint", 0, "Bit", 0, "varchar", "'A'", "nvarchar", "'A'", "char", "'A'", "numeric", 0,"decimal", 0, "date", "'01/01/2000'", "datetime", "'01/01/2000'", "")</f>
        <v/>
      </c>
      <c r="D229" s="3">
        <f>'Column Definition'!C235</f>
        <v>0</v>
      </c>
      <c r="E229" s="9" t="str">
        <f t="shared" si="28"/>
        <v>, 0</v>
      </c>
      <c r="F229" s="9" t="str">
        <f t="shared" si="29"/>
        <v>, s.0</v>
      </c>
      <c r="G229" s="3" t="str">
        <f t="shared" si="27"/>
        <v>OR (s.0 &lt;&gt; t.0 OR ( t.0 Is Null AND s.0 Is Not Null) OR ( t.0 Is not Null AND s.0 Is  Null))</v>
      </c>
      <c r="H229" s="9" t="str">
        <f t="shared" si="30"/>
        <v>, t.0 = s.0</v>
      </c>
    </row>
    <row r="230" spans="2:8" x14ac:dyDescent="0.25">
      <c r="B230" s="9">
        <f>'Column Definition'!F236</f>
        <v>0</v>
      </c>
      <c r="C230" s="14" t="str">
        <f>_xlfn.SWITCH(Table4[[#This Row],[Column1]],"int", 0, "Smallint", 0, "tinyint", 0, "Bit", 0, "varchar", "'A'", "nvarchar", "'A'", "char", "'A'", "numeric", 0,"decimal", 0, "date", "'01/01/2000'", "datetime", "'01/01/2000'", "")</f>
        <v/>
      </c>
      <c r="D230" s="3">
        <f>'Column Definition'!C236</f>
        <v>0</v>
      </c>
      <c r="E230" s="9" t="str">
        <f t="shared" si="28"/>
        <v>, 0</v>
      </c>
      <c r="F230" s="9" t="str">
        <f t="shared" si="29"/>
        <v>, s.0</v>
      </c>
      <c r="G230" s="3" t="str">
        <f t="shared" si="27"/>
        <v>OR (s.0 &lt;&gt; t.0 OR ( t.0 Is Null AND s.0 Is Not Null) OR ( t.0 Is not Null AND s.0 Is  Null))</v>
      </c>
      <c r="H230" s="9" t="str">
        <f t="shared" si="30"/>
        <v>, t.0 = s.0</v>
      </c>
    </row>
    <row r="231" spans="2:8" x14ac:dyDescent="0.25">
      <c r="B231" s="9">
        <f>'Column Definition'!F237</f>
        <v>0</v>
      </c>
      <c r="C231" s="14" t="str">
        <f>_xlfn.SWITCH(Table4[[#This Row],[Column1]],"int", 0, "Smallint", 0, "tinyint", 0, "Bit", 0, "varchar", "'A'", "nvarchar", "'A'", "char", "'A'", "numeric", 0,"decimal", 0, "date", "'01/01/2000'", "datetime", "'01/01/2000'", "")</f>
        <v/>
      </c>
      <c r="D231" s="3">
        <f>'Column Definition'!C237</f>
        <v>0</v>
      </c>
      <c r="E231" s="9" t="str">
        <f t="shared" si="28"/>
        <v>, 0</v>
      </c>
      <c r="F231" s="9" t="str">
        <f t="shared" si="29"/>
        <v>, s.0</v>
      </c>
      <c r="G231" s="3" t="str">
        <f t="shared" si="27"/>
        <v>OR (s.0 &lt;&gt; t.0 OR ( t.0 Is Null AND s.0 Is Not Null) OR ( t.0 Is not Null AND s.0 Is  Null))</v>
      </c>
      <c r="H231" s="9" t="str">
        <f t="shared" si="30"/>
        <v>, t.0 = s.0</v>
      </c>
    </row>
    <row r="232" spans="2:8" x14ac:dyDescent="0.25">
      <c r="B232" s="9">
        <f>'Column Definition'!F238</f>
        <v>0</v>
      </c>
      <c r="C232" s="14" t="str">
        <f>_xlfn.SWITCH(Table4[[#This Row],[Column1]],"int", 0, "Smallint", 0, "tinyint", 0, "Bit", 0, "varchar", "'A'", "nvarchar", "'A'", "char", "'A'", "numeric", 0,"decimal", 0, "date", "'01/01/2000'", "datetime", "'01/01/2000'", "")</f>
        <v/>
      </c>
      <c r="D232" s="3">
        <f>'Column Definition'!C238</f>
        <v>0</v>
      </c>
      <c r="E232" s="9" t="str">
        <f t="shared" si="28"/>
        <v>, 0</v>
      </c>
      <c r="F232" s="9" t="str">
        <f t="shared" si="29"/>
        <v>, s.0</v>
      </c>
      <c r="G232" s="3" t="str">
        <f t="shared" si="27"/>
        <v>OR (s.0 &lt;&gt; t.0 OR ( t.0 Is Null AND s.0 Is Not Null) OR ( t.0 Is not Null AND s.0 Is  Null))</v>
      </c>
      <c r="H232" s="9" t="str">
        <f t="shared" si="30"/>
        <v>, t.0 = s.0</v>
      </c>
    </row>
    <row r="233" spans="2:8" x14ac:dyDescent="0.25">
      <c r="B233" s="9">
        <f>'Column Definition'!F239</f>
        <v>0</v>
      </c>
      <c r="C233" s="14" t="str">
        <f>_xlfn.SWITCH(Table4[[#This Row],[Column1]],"int", 0, "Smallint", 0, "tinyint", 0, "Bit", 0, "varchar", "'A'", "nvarchar", "'A'", "char", "'A'", "numeric", 0,"decimal", 0, "date", "'01/01/2000'", "datetime", "'01/01/2000'", "")</f>
        <v/>
      </c>
      <c r="D233" s="3">
        <f>'Column Definition'!C239</f>
        <v>0</v>
      </c>
      <c r="E233" s="9" t="str">
        <f t="shared" si="28"/>
        <v>, 0</v>
      </c>
      <c r="F233" s="9" t="str">
        <f t="shared" si="29"/>
        <v>, s.0</v>
      </c>
      <c r="G233" s="3" t="str">
        <f t="shared" si="27"/>
        <v>OR (s.0 &lt;&gt; t.0 OR ( t.0 Is Null AND s.0 Is Not Null) OR ( t.0 Is not Null AND s.0 Is  Null))</v>
      </c>
      <c r="H233" s="9" t="str">
        <f t="shared" si="30"/>
        <v>, t.0 = s.0</v>
      </c>
    </row>
    <row r="234" spans="2:8" x14ac:dyDescent="0.25">
      <c r="B234" s="9">
        <f>'Column Definition'!F240</f>
        <v>0</v>
      </c>
      <c r="C234" s="14" t="str">
        <f>_xlfn.SWITCH(Table4[[#This Row],[Column1]],"int", 0, "Smallint", 0, "tinyint", 0, "Bit", 0, "varchar", "'A'", "nvarchar", "'A'", "char", "'A'", "numeric", 0,"decimal", 0, "date", "'01/01/2000'", "datetime", "'01/01/2000'", "")</f>
        <v/>
      </c>
      <c r="D234" s="3">
        <f>'Column Definition'!C240</f>
        <v>0</v>
      </c>
      <c r="E234" s="9" t="str">
        <f t="shared" si="28"/>
        <v>, 0</v>
      </c>
      <c r="F234" s="9" t="str">
        <f t="shared" si="29"/>
        <v>, s.0</v>
      </c>
      <c r="G234" s="3" t="str">
        <f t="shared" si="27"/>
        <v>OR (s.0 &lt;&gt; t.0 OR ( t.0 Is Null AND s.0 Is Not Null) OR ( t.0 Is not Null AND s.0 Is  Null))</v>
      </c>
      <c r="H234" s="9" t="str">
        <f t="shared" si="30"/>
        <v>, t.0 = s.0</v>
      </c>
    </row>
    <row r="235" spans="2:8" x14ac:dyDescent="0.25">
      <c r="B235" s="9">
        <f>'Column Definition'!F241</f>
        <v>0</v>
      </c>
      <c r="C235" s="14" t="str">
        <f>_xlfn.SWITCH(Table4[[#This Row],[Column1]],"int", 0, "Smallint", 0, "tinyint", 0, "Bit", 0, "varchar", "'A'", "nvarchar", "'A'", "char", "'A'", "numeric", 0,"decimal", 0, "date", "'01/01/2000'", "datetime", "'01/01/2000'", "")</f>
        <v/>
      </c>
      <c r="D235" s="3">
        <f>'Column Definition'!C241</f>
        <v>0</v>
      </c>
      <c r="E235" s="9" t="str">
        <f t="shared" si="28"/>
        <v>, 0</v>
      </c>
      <c r="F235" s="9" t="str">
        <f t="shared" si="29"/>
        <v>, s.0</v>
      </c>
      <c r="G235" s="3" t="str">
        <f t="shared" si="27"/>
        <v>OR (s.0 &lt;&gt; t.0 OR ( t.0 Is Null AND s.0 Is Not Null) OR ( t.0 Is not Null AND s.0 Is  Null))</v>
      </c>
      <c r="H235" s="9" t="str">
        <f t="shared" si="30"/>
        <v>, t.0 = s.0</v>
      </c>
    </row>
    <row r="236" spans="2:8" x14ac:dyDescent="0.25">
      <c r="B236" s="9">
        <f>'Column Definition'!F242</f>
        <v>0</v>
      </c>
      <c r="C236" s="14" t="str">
        <f>_xlfn.SWITCH(Table4[[#This Row],[Column1]],"int", 0, "Smallint", 0, "tinyint", 0, "Bit", 0, "varchar", "'A'", "nvarchar", "'A'", "char", "'A'", "numeric", 0,"decimal", 0, "date", "'01/01/2000'", "datetime", "'01/01/2000'", "")</f>
        <v/>
      </c>
      <c r="D236" s="3">
        <f>'Column Definition'!C242</f>
        <v>0</v>
      </c>
      <c r="E236" s="9" t="str">
        <f t="shared" si="28"/>
        <v>, 0</v>
      </c>
      <c r="F236" s="9" t="str">
        <f t="shared" si="29"/>
        <v>, s.0</v>
      </c>
      <c r="G236" s="3" t="str">
        <f t="shared" si="27"/>
        <v>OR (s.0 &lt;&gt; t.0 OR ( t.0 Is Null AND s.0 Is Not Null) OR ( t.0 Is not Null AND s.0 Is  Null))</v>
      </c>
      <c r="H236" s="9" t="str">
        <f t="shared" si="30"/>
        <v>, t.0 = s.0</v>
      </c>
    </row>
    <row r="237" spans="2:8" x14ac:dyDescent="0.25">
      <c r="B237" s="9">
        <f>'Column Definition'!F243</f>
        <v>0</v>
      </c>
      <c r="C237" s="14" t="str">
        <f>_xlfn.SWITCH(Table4[[#This Row],[Column1]],"int", 0, "Smallint", 0, "tinyint", 0, "Bit", 0, "varchar", "'A'", "nvarchar", "'A'", "char", "'A'", "numeric", 0,"decimal", 0, "date", "'01/01/2000'", "datetime", "'01/01/2000'", "")</f>
        <v/>
      </c>
      <c r="D237" s="3">
        <f>'Column Definition'!C243</f>
        <v>0</v>
      </c>
      <c r="E237" s="9" t="str">
        <f t="shared" si="28"/>
        <v>, 0</v>
      </c>
      <c r="F237" s="9" t="str">
        <f t="shared" si="29"/>
        <v>, s.0</v>
      </c>
      <c r="G237" s="3" t="str">
        <f t="shared" si="27"/>
        <v>OR (s.0 &lt;&gt; t.0 OR ( t.0 Is Null AND s.0 Is Not Null) OR ( t.0 Is not Null AND s.0 Is  Null))</v>
      </c>
      <c r="H237" s="9" t="str">
        <f t="shared" si="30"/>
        <v>, t.0 = s.0</v>
      </c>
    </row>
    <row r="238" spans="2:8" x14ac:dyDescent="0.25">
      <c r="B238" s="9">
        <f>'Column Definition'!F244</f>
        <v>0</v>
      </c>
      <c r="C238" s="14" t="str">
        <f>_xlfn.SWITCH(Table4[[#This Row],[Column1]],"int", 0, "Smallint", 0, "tinyint", 0, "Bit", 0, "varchar", "'A'", "nvarchar", "'A'", "char", "'A'", "numeric", 0,"decimal", 0, "date", "'01/01/2000'", "datetime", "'01/01/2000'", "")</f>
        <v/>
      </c>
      <c r="D238" s="3">
        <f>'Column Definition'!C244</f>
        <v>0</v>
      </c>
      <c r="E238" s="9" t="str">
        <f t="shared" si="28"/>
        <v>, 0</v>
      </c>
      <c r="F238" s="9" t="str">
        <f t="shared" si="29"/>
        <v>, s.0</v>
      </c>
      <c r="G238" s="3" t="str">
        <f t="shared" si="27"/>
        <v>OR (s.0 &lt;&gt; t.0 OR ( t.0 Is Null AND s.0 Is Not Null) OR ( t.0 Is not Null AND s.0 Is  Null))</v>
      </c>
      <c r="H238" s="9" t="str">
        <f t="shared" si="30"/>
        <v>, t.0 = s.0</v>
      </c>
    </row>
    <row r="239" spans="2:8" x14ac:dyDescent="0.25">
      <c r="B239" s="9">
        <f>'Column Definition'!F245</f>
        <v>0</v>
      </c>
      <c r="C239" s="14" t="str">
        <f>_xlfn.SWITCH(Table4[[#This Row],[Column1]],"int", 0, "Smallint", 0, "tinyint", 0, "Bit", 0, "varchar", "'A'", "nvarchar", "'A'", "char", "'A'", "numeric", 0,"decimal", 0, "date", "'01/01/2000'", "datetime", "'01/01/2000'", "")</f>
        <v/>
      </c>
      <c r="D239" s="3">
        <f>'Column Definition'!C245</f>
        <v>0</v>
      </c>
      <c r="E239" s="9" t="str">
        <f t="shared" si="28"/>
        <v>, 0</v>
      </c>
      <c r="F239" s="9" t="str">
        <f t="shared" si="29"/>
        <v>, s.0</v>
      </c>
      <c r="G239" s="3" t="str">
        <f t="shared" si="27"/>
        <v>OR (s.0 &lt;&gt; t.0 OR ( t.0 Is Null AND s.0 Is Not Null) OR ( t.0 Is not Null AND s.0 Is  Null))</v>
      </c>
      <c r="H239" s="9" t="str">
        <f t="shared" si="30"/>
        <v>, t.0 = s.0</v>
      </c>
    </row>
    <row r="240" spans="2:8" x14ac:dyDescent="0.25">
      <c r="B240" s="9">
        <f>'Column Definition'!F246</f>
        <v>0</v>
      </c>
      <c r="C240" s="14" t="str">
        <f>_xlfn.SWITCH(Table4[[#This Row],[Column1]],"int", 0, "Smallint", 0, "tinyint", 0, "Bit", 0, "varchar", "'A'", "nvarchar", "'A'", "char", "'A'", "numeric", 0,"decimal", 0, "date", "'01/01/2000'", "datetime", "'01/01/2000'", "")</f>
        <v/>
      </c>
      <c r="D240" s="3">
        <f>'Column Definition'!C246</f>
        <v>0</v>
      </c>
      <c r="E240" s="9" t="str">
        <f t="shared" si="28"/>
        <v>, 0</v>
      </c>
      <c r="F240" s="9" t="str">
        <f t="shared" si="29"/>
        <v>, s.0</v>
      </c>
      <c r="G240" s="3" t="str">
        <f t="shared" si="27"/>
        <v>OR (s.0 &lt;&gt; t.0 OR ( t.0 Is Null AND s.0 Is Not Null) OR ( t.0 Is not Null AND s.0 Is  Null))</v>
      </c>
      <c r="H240" s="9" t="str">
        <f t="shared" si="30"/>
        <v>, t.0 = s.0</v>
      </c>
    </row>
    <row r="241" spans="2:8" x14ac:dyDescent="0.25">
      <c r="B241" s="9">
        <f>'Column Definition'!F247</f>
        <v>0</v>
      </c>
      <c r="C241" s="14" t="str">
        <f>_xlfn.SWITCH(Table4[[#This Row],[Column1]],"int", 0, "Smallint", 0, "tinyint", 0, "Bit", 0, "varchar", "'A'", "nvarchar", "'A'", "char", "'A'", "numeric", 0,"decimal", 0, "date", "'01/01/2000'", "datetime", "'01/01/2000'", "")</f>
        <v/>
      </c>
      <c r="D241" s="3">
        <f>'Column Definition'!C247</f>
        <v>0</v>
      </c>
      <c r="E241" s="9" t="str">
        <f t="shared" si="28"/>
        <v>, 0</v>
      </c>
      <c r="F241" s="9" t="str">
        <f t="shared" si="29"/>
        <v>, s.0</v>
      </c>
      <c r="G241" s="3" t="str">
        <f t="shared" si="27"/>
        <v>OR (s.0 &lt;&gt; t.0 OR ( t.0 Is Null AND s.0 Is Not Null) OR ( t.0 Is not Null AND s.0 Is  Null))</v>
      </c>
      <c r="H241" s="9" t="str">
        <f t="shared" si="30"/>
        <v>, t.0 = s.0</v>
      </c>
    </row>
    <row r="242" spans="2:8" x14ac:dyDescent="0.25">
      <c r="B242" s="9">
        <f>'Column Definition'!F248</f>
        <v>0</v>
      </c>
      <c r="C242" s="14" t="str">
        <f>_xlfn.SWITCH(Table4[[#This Row],[Column1]],"int", 0, "Smallint", 0, "tinyint", 0, "Bit", 0, "varchar", "'A'", "nvarchar", "'A'", "char", "'A'", "numeric", 0,"decimal", 0, "date", "'01/01/2000'", "datetime", "'01/01/2000'", "")</f>
        <v/>
      </c>
      <c r="D242" s="3">
        <f>'Column Definition'!C248</f>
        <v>0</v>
      </c>
      <c r="E242" s="9" t="str">
        <f t="shared" si="28"/>
        <v>, 0</v>
      </c>
      <c r="F242" s="9" t="str">
        <f t="shared" si="29"/>
        <v>, s.0</v>
      </c>
      <c r="G242" s="3" t="str">
        <f t="shared" si="27"/>
        <v>OR (s.0 &lt;&gt; t.0 OR ( t.0 Is Null AND s.0 Is Not Null) OR ( t.0 Is not Null AND s.0 Is  Null))</v>
      </c>
      <c r="H242" s="9" t="str">
        <f t="shared" si="30"/>
        <v>, t.0 = s.0</v>
      </c>
    </row>
    <row r="243" spans="2:8" x14ac:dyDescent="0.25">
      <c r="B243" s="9">
        <f>'Column Definition'!F249</f>
        <v>0</v>
      </c>
      <c r="C243" s="14" t="str">
        <f>_xlfn.SWITCH(Table4[[#This Row],[Column1]],"int", 0, "Smallint", 0, "tinyint", 0, "Bit", 0, "varchar", "'A'", "nvarchar", "'A'", "char", "'A'", "numeric", 0,"decimal", 0, "date", "'01/01/2000'", "datetime", "'01/01/2000'", "")</f>
        <v/>
      </c>
      <c r="D243" s="3">
        <f>'Column Definition'!C249</f>
        <v>0</v>
      </c>
      <c r="E243" s="9" t="str">
        <f t="shared" si="28"/>
        <v>, 0</v>
      </c>
      <c r="F243" s="9" t="str">
        <f t="shared" si="29"/>
        <v>, s.0</v>
      </c>
      <c r="G243" s="3" t="str">
        <f t="shared" si="27"/>
        <v>OR (s.0 &lt;&gt; t.0 OR ( t.0 Is Null AND s.0 Is Not Null) OR ( t.0 Is not Null AND s.0 Is  Null))</v>
      </c>
      <c r="H243" s="9" t="str">
        <f t="shared" si="30"/>
        <v>, t.0 = s.0</v>
      </c>
    </row>
    <row r="244" spans="2:8" x14ac:dyDescent="0.25">
      <c r="B244" s="9">
        <f>'Column Definition'!F250</f>
        <v>0</v>
      </c>
      <c r="C244" s="14" t="str">
        <f>_xlfn.SWITCH(Table4[[#This Row],[Column1]],"int", 0, "Smallint", 0, "tinyint", 0, "Bit", 0, "varchar", "'A'", "nvarchar", "'A'", "char", "'A'", "numeric", 0,"decimal", 0, "date", "'01/01/2000'", "datetime", "'01/01/2000'", "")</f>
        <v/>
      </c>
      <c r="D244" s="3">
        <f>'Column Definition'!C250</f>
        <v>0</v>
      </c>
      <c r="E244" s="9" t="str">
        <f t="shared" si="28"/>
        <v>, 0</v>
      </c>
      <c r="F244" s="9" t="str">
        <f t="shared" si="29"/>
        <v>, s.0</v>
      </c>
      <c r="G244" s="3" t="str">
        <f t="shared" si="27"/>
        <v>OR (s.0 &lt;&gt; t.0 OR ( t.0 Is Null AND s.0 Is Not Null) OR ( t.0 Is not Null AND s.0 Is  Null))</v>
      </c>
      <c r="H244" s="9" t="str">
        <f t="shared" si="30"/>
        <v>, t.0 = s.0</v>
      </c>
    </row>
    <row r="245" spans="2:8" x14ac:dyDescent="0.25">
      <c r="B245" s="9">
        <f>'Column Definition'!F251</f>
        <v>0</v>
      </c>
      <c r="C245" s="14" t="str">
        <f>_xlfn.SWITCH(Table4[[#This Row],[Column1]],"int", 0, "Smallint", 0, "tinyint", 0, "Bit", 0, "varchar", "'A'", "nvarchar", "'A'", "char", "'A'", "numeric", 0,"decimal", 0, "date", "'01/01/2000'", "datetime", "'01/01/2000'", "")</f>
        <v/>
      </c>
      <c r="D245" s="3">
        <f>'Column Definition'!C251</f>
        <v>0</v>
      </c>
      <c r="E245" s="9" t="str">
        <f t="shared" si="28"/>
        <v>, 0</v>
      </c>
      <c r="F245" s="9" t="str">
        <f t="shared" si="29"/>
        <v>, s.0</v>
      </c>
      <c r="G245" s="3" t="str">
        <f t="shared" si="27"/>
        <v>OR (s.0 &lt;&gt; t.0 OR ( t.0 Is Null AND s.0 Is Not Null) OR ( t.0 Is not Null AND s.0 Is  Null))</v>
      </c>
      <c r="H245" s="9" t="str">
        <f t="shared" si="30"/>
        <v>, t.0 = s.0</v>
      </c>
    </row>
    <row r="246" spans="2:8" x14ac:dyDescent="0.25">
      <c r="B246" s="9">
        <f>'Column Definition'!F252</f>
        <v>0</v>
      </c>
      <c r="C246" s="14" t="str">
        <f>_xlfn.SWITCH(Table4[[#This Row],[Column1]],"int", 0, "Smallint", 0, "tinyint", 0, "Bit", 0, "varchar", "'A'", "nvarchar", "'A'", "char", "'A'", "numeric", 0,"decimal", 0, "date", "'01/01/2000'", "datetime", "'01/01/2000'", "")</f>
        <v/>
      </c>
      <c r="D246" s="3">
        <f>'Column Definition'!C252</f>
        <v>0</v>
      </c>
      <c r="E246" s="9" t="str">
        <f t="shared" si="28"/>
        <v>, 0</v>
      </c>
      <c r="F246" s="9" t="str">
        <f t="shared" si="29"/>
        <v>, s.0</v>
      </c>
      <c r="G246" s="3" t="str">
        <f t="shared" si="27"/>
        <v>OR (s.0 &lt;&gt; t.0 OR ( t.0 Is Null AND s.0 Is Not Null) OR ( t.0 Is not Null AND s.0 Is  Null))</v>
      </c>
      <c r="H246" s="9" t="str">
        <f t="shared" si="30"/>
        <v>, t.0 = s.0</v>
      </c>
    </row>
    <row r="247" spans="2:8" x14ac:dyDescent="0.25">
      <c r="B247" s="9">
        <f>'Column Definition'!F253</f>
        <v>0</v>
      </c>
      <c r="C247" s="14" t="str">
        <f>_xlfn.SWITCH(Table4[[#This Row],[Column1]],"int", 0, "Smallint", 0, "tinyint", 0, "Bit", 0, "varchar", "'A'", "nvarchar", "'A'", "char", "'A'", "numeric", 0,"decimal", 0, "date", "'01/01/2000'", "datetime", "'01/01/2000'", "")</f>
        <v/>
      </c>
      <c r="D247" s="3">
        <f>'Column Definition'!C253</f>
        <v>0</v>
      </c>
      <c r="E247" s="9" t="str">
        <f t="shared" si="28"/>
        <v>, 0</v>
      </c>
      <c r="F247" s="9" t="str">
        <f t="shared" si="29"/>
        <v>, s.0</v>
      </c>
      <c r="G247" s="3" t="str">
        <f t="shared" si="27"/>
        <v>OR (s.0 &lt;&gt; t.0 OR ( t.0 Is Null AND s.0 Is Not Null) OR ( t.0 Is not Null AND s.0 Is  Null))</v>
      </c>
      <c r="H247" s="9" t="str">
        <f t="shared" si="30"/>
        <v>, t.0 = s.0</v>
      </c>
    </row>
    <row r="248" spans="2:8" x14ac:dyDescent="0.25">
      <c r="B248" s="9">
        <f>'Column Definition'!F254</f>
        <v>0</v>
      </c>
      <c r="C248" s="14" t="str">
        <f>_xlfn.SWITCH(Table4[[#This Row],[Column1]],"int", 0, "Smallint", 0, "tinyint", 0, "Bit", 0, "varchar", "'A'", "nvarchar", "'A'", "char", "'A'", "numeric", 0,"decimal", 0, "date", "'01/01/2000'", "datetime", "'01/01/2000'", "")</f>
        <v/>
      </c>
      <c r="D248" s="3">
        <f>'Column Definition'!C254</f>
        <v>0</v>
      </c>
      <c r="E248" s="9" t="str">
        <f t="shared" ref="E248:E279" si="31">", "&amp;D248</f>
        <v>, 0</v>
      </c>
      <c r="F248" s="9" t="str">
        <f t="shared" ref="F248:F279" si="32">", s."&amp;D248</f>
        <v>, s.0</v>
      </c>
      <c r="G248" s="3" t="str">
        <f t="shared" si="27"/>
        <v>OR (s.0 &lt;&gt; t.0 OR ( t.0 Is Null AND s.0 Is Not Null) OR ( t.0 Is not Null AND s.0 Is  Null))</v>
      </c>
      <c r="H248" s="9" t="str">
        <f t="shared" ref="H248:H279" si="33">", t."&amp; D248  &amp; " = s." &amp; D248</f>
        <v>, t.0 = s.0</v>
      </c>
    </row>
    <row r="249" spans="2:8" x14ac:dyDescent="0.25">
      <c r="B249" s="9">
        <f>'Column Definition'!F255</f>
        <v>0</v>
      </c>
      <c r="C249" s="14" t="str">
        <f>_xlfn.SWITCH(Table4[[#This Row],[Column1]],"int", 0, "Smallint", 0, "tinyint", 0, "Bit", 0, "varchar", "'A'", "nvarchar", "'A'", "char", "'A'", "numeric", 0,"decimal", 0, "date", "'01/01/2000'", "datetime", "'01/01/2000'", "")</f>
        <v/>
      </c>
      <c r="D249" s="3">
        <f>'Column Definition'!C255</f>
        <v>0</v>
      </c>
      <c r="E249" s="9" t="str">
        <f t="shared" si="31"/>
        <v>, 0</v>
      </c>
      <c r="F249" s="9" t="str">
        <f t="shared" si="32"/>
        <v>, s.0</v>
      </c>
      <c r="G249" s="3" t="str">
        <f t="shared" si="27"/>
        <v>OR (s.0 &lt;&gt; t.0 OR ( t.0 Is Null AND s.0 Is Not Null) OR ( t.0 Is not Null AND s.0 Is  Null))</v>
      </c>
      <c r="H249" s="9" t="str">
        <f t="shared" si="33"/>
        <v>, t.0 = s.0</v>
      </c>
    </row>
    <row r="250" spans="2:8" x14ac:dyDescent="0.25">
      <c r="B250" s="9">
        <f>'Column Definition'!F256</f>
        <v>0</v>
      </c>
      <c r="C250" s="14" t="str">
        <f>_xlfn.SWITCH(Table4[[#This Row],[Column1]],"int", 0, "Smallint", 0, "tinyint", 0, "Bit", 0, "varchar", "'A'", "nvarchar", "'A'", "char", "'A'", "numeric", 0,"decimal", 0, "date", "'01/01/2000'", "datetime", "'01/01/2000'", "")</f>
        <v/>
      </c>
      <c r="D250" s="3">
        <f>'Column Definition'!C256</f>
        <v>0</v>
      </c>
      <c r="E250" s="9" t="str">
        <f t="shared" si="31"/>
        <v>, 0</v>
      </c>
      <c r="F250" s="9" t="str">
        <f t="shared" si="32"/>
        <v>, s.0</v>
      </c>
      <c r="G250" s="3" t="str">
        <f t="shared" si="27"/>
        <v>OR (s.0 &lt;&gt; t.0 OR ( t.0 Is Null AND s.0 Is Not Null) OR ( t.0 Is not Null AND s.0 Is  Null))</v>
      </c>
      <c r="H250" s="9" t="str">
        <f t="shared" si="33"/>
        <v>, t.0 = s.0</v>
      </c>
    </row>
    <row r="251" spans="2:8" x14ac:dyDescent="0.25">
      <c r="B251" s="9">
        <f>'Column Definition'!F257</f>
        <v>0</v>
      </c>
      <c r="C251" s="14" t="str">
        <f>_xlfn.SWITCH(Table4[[#This Row],[Column1]],"int", 0, "Smallint", 0, "tinyint", 0, "Bit", 0, "varchar", "'A'", "nvarchar", "'A'", "char", "'A'", "numeric", 0,"decimal", 0, "date", "'01/01/2000'", "datetime", "'01/01/2000'", "")</f>
        <v/>
      </c>
      <c r="D251" s="3">
        <f>'Column Definition'!C257</f>
        <v>0</v>
      </c>
      <c r="E251" s="9" t="str">
        <f t="shared" si="31"/>
        <v>, 0</v>
      </c>
      <c r="F251" s="9" t="str">
        <f t="shared" si="32"/>
        <v>, s.0</v>
      </c>
      <c r="G251" s="3" t="str">
        <f t="shared" si="27"/>
        <v>OR (s.0 &lt;&gt; t.0 OR ( t.0 Is Null AND s.0 Is Not Null) OR ( t.0 Is not Null AND s.0 Is  Null))</v>
      </c>
      <c r="H251" s="9" t="str">
        <f t="shared" si="33"/>
        <v>, t.0 = s.0</v>
      </c>
    </row>
    <row r="252" spans="2:8" x14ac:dyDescent="0.25">
      <c r="B252" s="9">
        <f>'Column Definition'!F258</f>
        <v>0</v>
      </c>
      <c r="C252" s="14" t="str">
        <f>_xlfn.SWITCH(Table4[[#This Row],[Column1]],"int", 0, "Smallint", 0, "tinyint", 0, "Bit", 0, "varchar", "'A'", "nvarchar", "'A'", "char", "'A'", "numeric", 0,"decimal", 0, "date", "'01/01/2000'", "datetime", "'01/01/2000'", "")</f>
        <v/>
      </c>
      <c r="D252" s="3">
        <f>'Column Definition'!C258</f>
        <v>0</v>
      </c>
      <c r="E252" s="9" t="str">
        <f t="shared" si="31"/>
        <v>, 0</v>
      </c>
      <c r="F252" s="9" t="str">
        <f t="shared" si="32"/>
        <v>, s.0</v>
      </c>
      <c r="G252" s="3" t="str">
        <f t="shared" si="27"/>
        <v>OR (s.0 &lt;&gt; t.0 OR ( t.0 Is Null AND s.0 Is Not Null) OR ( t.0 Is not Null AND s.0 Is  Null))</v>
      </c>
      <c r="H252" s="9" t="str">
        <f t="shared" si="33"/>
        <v>, t.0 = s.0</v>
      </c>
    </row>
    <row r="253" spans="2:8" x14ac:dyDescent="0.25">
      <c r="B253" s="9">
        <f>'Column Definition'!F259</f>
        <v>0</v>
      </c>
      <c r="C253" s="14" t="str">
        <f>_xlfn.SWITCH(Table4[[#This Row],[Column1]],"int", 0, "Smallint", 0, "tinyint", 0, "Bit", 0, "varchar", "'A'", "nvarchar", "'A'", "char", "'A'", "numeric", 0,"decimal", 0, "date", "'01/01/2000'", "datetime", "'01/01/2000'", "")</f>
        <v/>
      </c>
      <c r="D253" s="3">
        <f>'Column Definition'!C259</f>
        <v>0</v>
      </c>
      <c r="E253" s="9" t="str">
        <f t="shared" si="31"/>
        <v>, 0</v>
      </c>
      <c r="F253" s="9" t="str">
        <f t="shared" si="32"/>
        <v>, s.0</v>
      </c>
      <c r="G253" s="3" t="str">
        <f t="shared" si="27"/>
        <v>OR (s.0 &lt;&gt; t.0 OR ( t.0 Is Null AND s.0 Is Not Null) OR ( t.0 Is not Null AND s.0 Is  Null))</v>
      </c>
      <c r="H253" s="9" t="str">
        <f t="shared" si="33"/>
        <v>, t.0 = s.0</v>
      </c>
    </row>
    <row r="254" spans="2:8" x14ac:dyDescent="0.25">
      <c r="B254" s="9">
        <f>'Column Definition'!F260</f>
        <v>0</v>
      </c>
      <c r="C254" s="14" t="str">
        <f>_xlfn.SWITCH(Table4[[#This Row],[Column1]],"int", 0, "Smallint", 0, "tinyint", 0, "Bit", 0, "varchar", "'A'", "nvarchar", "'A'", "char", "'A'", "numeric", 0,"decimal", 0, "date", "'01/01/2000'", "datetime", "'01/01/2000'", "")</f>
        <v/>
      </c>
      <c r="D254" s="3">
        <f>'Column Definition'!C260</f>
        <v>0</v>
      </c>
      <c r="E254" s="9" t="str">
        <f t="shared" si="31"/>
        <v>, 0</v>
      </c>
      <c r="F254" s="9" t="str">
        <f t="shared" si="32"/>
        <v>, s.0</v>
      </c>
      <c r="G254" s="3" t="str">
        <f t="shared" si="27"/>
        <v>OR (s.0 &lt;&gt; t.0 OR ( t.0 Is Null AND s.0 Is Not Null) OR ( t.0 Is not Null AND s.0 Is  Null))</v>
      </c>
      <c r="H254" s="9" t="str">
        <f t="shared" si="33"/>
        <v>, t.0 = s.0</v>
      </c>
    </row>
    <row r="255" spans="2:8" x14ac:dyDescent="0.25">
      <c r="B255" s="9">
        <f>'Column Definition'!F261</f>
        <v>0</v>
      </c>
      <c r="C255" s="14" t="str">
        <f>_xlfn.SWITCH(Table4[[#This Row],[Column1]],"int", 0, "Smallint", 0, "tinyint", 0, "Bit", 0, "varchar", "'A'", "nvarchar", "'A'", "char", "'A'", "numeric", 0,"decimal", 0, "date", "'01/01/2000'", "datetime", "'01/01/2000'", "")</f>
        <v/>
      </c>
      <c r="D255" s="3">
        <f>'Column Definition'!C261</f>
        <v>0</v>
      </c>
      <c r="E255" s="9" t="str">
        <f t="shared" si="31"/>
        <v>, 0</v>
      </c>
      <c r="F255" s="9" t="str">
        <f t="shared" si="32"/>
        <v>, s.0</v>
      </c>
      <c r="G255" s="3" t="str">
        <f t="shared" si="27"/>
        <v>OR (s.0 &lt;&gt; t.0 OR ( t.0 Is Null AND s.0 Is Not Null) OR ( t.0 Is not Null AND s.0 Is  Null))</v>
      </c>
      <c r="H255" s="9" t="str">
        <f t="shared" si="33"/>
        <v>, t.0 = s.0</v>
      </c>
    </row>
    <row r="256" spans="2:8" x14ac:dyDescent="0.25">
      <c r="B256" s="9">
        <f>'Column Definition'!F262</f>
        <v>0</v>
      </c>
      <c r="C256" s="14" t="str">
        <f>_xlfn.SWITCH(Table4[[#This Row],[Column1]],"int", 0, "Smallint", 0, "tinyint", 0, "Bit", 0, "varchar", "'A'", "nvarchar", "'A'", "char", "'A'", "numeric", 0,"decimal", 0, "date", "'01/01/2000'", "datetime", "'01/01/2000'", "")</f>
        <v/>
      </c>
      <c r="D256" s="3">
        <f>'Column Definition'!C262</f>
        <v>0</v>
      </c>
      <c r="E256" s="9" t="str">
        <f t="shared" si="31"/>
        <v>, 0</v>
      </c>
      <c r="F256" s="9" t="str">
        <f t="shared" si="32"/>
        <v>, s.0</v>
      </c>
      <c r="G256" s="3" t="str">
        <f t="shared" si="27"/>
        <v>OR (s.0 &lt;&gt; t.0 OR ( t.0 Is Null AND s.0 Is Not Null) OR ( t.0 Is not Null AND s.0 Is  Null))</v>
      </c>
      <c r="H256" s="9" t="str">
        <f t="shared" si="33"/>
        <v>, t.0 = s.0</v>
      </c>
    </row>
    <row r="257" spans="2:8" x14ac:dyDescent="0.25">
      <c r="B257" s="9">
        <f>'Column Definition'!F263</f>
        <v>0</v>
      </c>
      <c r="C257" s="14" t="str">
        <f>_xlfn.SWITCH(Table4[[#This Row],[Column1]],"int", 0, "Smallint", 0, "tinyint", 0, "Bit", 0, "varchar", "'A'", "nvarchar", "'A'", "char", "'A'", "numeric", 0,"decimal", 0, "date", "'01/01/2000'", "datetime", "'01/01/2000'", "")</f>
        <v/>
      </c>
      <c r="D257" s="3">
        <f>'Column Definition'!C263</f>
        <v>0</v>
      </c>
      <c r="E257" s="9" t="str">
        <f t="shared" si="31"/>
        <v>, 0</v>
      </c>
      <c r="F257" s="9" t="str">
        <f t="shared" si="32"/>
        <v>, s.0</v>
      </c>
      <c r="G257" s="3" t="str">
        <f t="shared" si="27"/>
        <v>OR (s.0 &lt;&gt; t.0 OR ( t.0 Is Null AND s.0 Is Not Null) OR ( t.0 Is not Null AND s.0 Is  Null))</v>
      </c>
      <c r="H257" s="9" t="str">
        <f t="shared" si="33"/>
        <v>, t.0 = s.0</v>
      </c>
    </row>
    <row r="258" spans="2:8" x14ac:dyDescent="0.25">
      <c r="B258" s="9">
        <f>'Column Definition'!F264</f>
        <v>0</v>
      </c>
      <c r="C258" s="14" t="str">
        <f>_xlfn.SWITCH(Table4[[#This Row],[Column1]],"int", 0, "Smallint", 0, "tinyint", 0, "Bit", 0, "varchar", "'A'", "nvarchar", "'A'", "char", "'A'", "numeric", 0,"decimal", 0, "date", "'01/01/2000'", "datetime", "'01/01/2000'", "")</f>
        <v/>
      </c>
      <c r="D258" s="3">
        <f>'Column Definition'!C264</f>
        <v>0</v>
      </c>
      <c r="E258" s="9" t="str">
        <f t="shared" si="31"/>
        <v>, 0</v>
      </c>
      <c r="F258" s="9" t="str">
        <f t="shared" si="32"/>
        <v>, s.0</v>
      </c>
      <c r="G258" s="3" t="str">
        <f t="shared" si="27"/>
        <v>OR (s.0 &lt;&gt; t.0 OR ( t.0 Is Null AND s.0 Is Not Null) OR ( t.0 Is not Null AND s.0 Is  Null))</v>
      </c>
      <c r="H258" s="9" t="str">
        <f t="shared" si="33"/>
        <v>, t.0 = s.0</v>
      </c>
    </row>
    <row r="259" spans="2:8" x14ac:dyDescent="0.25">
      <c r="B259" s="9">
        <f>'Column Definition'!F265</f>
        <v>0</v>
      </c>
      <c r="C259" s="14" t="str">
        <f>_xlfn.SWITCH(Table4[[#This Row],[Column1]],"int", 0, "Smallint", 0, "tinyint", 0, "Bit", 0, "varchar", "'A'", "nvarchar", "'A'", "char", "'A'", "numeric", 0,"decimal", 0, "date", "'01/01/2000'", "datetime", "'01/01/2000'", "")</f>
        <v/>
      </c>
      <c r="D259" s="3">
        <f>'Column Definition'!C265</f>
        <v>0</v>
      </c>
      <c r="E259" s="9" t="str">
        <f t="shared" si="31"/>
        <v>, 0</v>
      </c>
      <c r="F259" s="9" t="str">
        <f t="shared" si="32"/>
        <v>, s.0</v>
      </c>
      <c r="G259" s="3" t="str">
        <f t="shared" si="27"/>
        <v>OR (s.0 &lt;&gt; t.0 OR ( t.0 Is Null AND s.0 Is Not Null) OR ( t.0 Is not Null AND s.0 Is  Null))</v>
      </c>
      <c r="H259" s="9" t="str">
        <f t="shared" si="33"/>
        <v>, t.0 = s.0</v>
      </c>
    </row>
    <row r="260" spans="2:8" x14ac:dyDescent="0.25">
      <c r="B260" s="9">
        <f>'Column Definition'!F266</f>
        <v>0</v>
      </c>
      <c r="C260" s="14" t="str">
        <f>_xlfn.SWITCH(Table4[[#This Row],[Column1]],"int", 0, "Smallint", 0, "tinyint", 0, "Bit", 0, "varchar", "'A'", "nvarchar", "'A'", "char", "'A'", "numeric", 0,"decimal", 0, "date", "'01/01/2000'", "datetime", "'01/01/2000'", "")</f>
        <v/>
      </c>
      <c r="D260" s="3">
        <f>'Column Definition'!C266</f>
        <v>0</v>
      </c>
      <c r="E260" s="9" t="str">
        <f t="shared" si="31"/>
        <v>, 0</v>
      </c>
      <c r="F260" s="9" t="str">
        <f t="shared" si="32"/>
        <v>, s.0</v>
      </c>
      <c r="G260" s="3" t="str">
        <f t="shared" ref="G260:G323" si="34">"OR (s."&amp;D260&amp;" &lt;&gt; t." &amp; D260 &amp; " OR ( t." &amp; D260  &amp; " Is Null AND s." &amp;D260 &amp; " Is Not Null) OR ( t." &amp; D260  &amp; " Is not Null AND s." &amp;D260 &amp; " Is  Null))"</f>
        <v>OR (s.0 &lt;&gt; t.0 OR ( t.0 Is Null AND s.0 Is Not Null) OR ( t.0 Is not Null AND s.0 Is  Null))</v>
      </c>
      <c r="H260" s="9" t="str">
        <f t="shared" si="33"/>
        <v>, t.0 = s.0</v>
      </c>
    </row>
    <row r="261" spans="2:8" x14ac:dyDescent="0.25">
      <c r="B261" s="9">
        <f>'Column Definition'!F267</f>
        <v>0</v>
      </c>
      <c r="C261" s="14" t="str">
        <f>_xlfn.SWITCH(Table4[[#This Row],[Column1]],"int", 0, "Smallint", 0, "tinyint", 0, "Bit", 0, "varchar", "'A'", "nvarchar", "'A'", "char", "'A'", "numeric", 0,"decimal", 0, "date", "'01/01/2000'", "datetime", "'01/01/2000'", "")</f>
        <v/>
      </c>
      <c r="D261" s="3">
        <f>'Column Definition'!C267</f>
        <v>0</v>
      </c>
      <c r="E261" s="9" t="str">
        <f t="shared" si="31"/>
        <v>, 0</v>
      </c>
      <c r="F261" s="9" t="str">
        <f t="shared" si="32"/>
        <v>, s.0</v>
      </c>
      <c r="G261" s="3" t="str">
        <f t="shared" si="34"/>
        <v>OR (s.0 &lt;&gt; t.0 OR ( t.0 Is Null AND s.0 Is Not Null) OR ( t.0 Is not Null AND s.0 Is  Null))</v>
      </c>
      <c r="H261" s="9" t="str">
        <f t="shared" si="33"/>
        <v>, t.0 = s.0</v>
      </c>
    </row>
    <row r="262" spans="2:8" x14ac:dyDescent="0.25">
      <c r="B262" s="9">
        <f>'Column Definition'!F268</f>
        <v>0</v>
      </c>
      <c r="C262" s="14" t="str">
        <f>_xlfn.SWITCH(Table4[[#This Row],[Column1]],"int", 0, "Smallint", 0, "tinyint", 0, "Bit", 0, "varchar", "'A'", "nvarchar", "'A'", "char", "'A'", "numeric", 0,"decimal", 0, "date", "'01/01/2000'", "datetime", "'01/01/2000'", "")</f>
        <v/>
      </c>
      <c r="D262" s="3">
        <f>'Column Definition'!C268</f>
        <v>0</v>
      </c>
      <c r="E262" s="9" t="str">
        <f t="shared" si="31"/>
        <v>, 0</v>
      </c>
      <c r="F262" s="9" t="str">
        <f t="shared" si="32"/>
        <v>, s.0</v>
      </c>
      <c r="G262" s="3" t="str">
        <f t="shared" si="34"/>
        <v>OR (s.0 &lt;&gt; t.0 OR ( t.0 Is Null AND s.0 Is Not Null) OR ( t.0 Is not Null AND s.0 Is  Null))</v>
      </c>
      <c r="H262" s="9" t="str">
        <f t="shared" si="33"/>
        <v>, t.0 = s.0</v>
      </c>
    </row>
    <row r="263" spans="2:8" x14ac:dyDescent="0.25">
      <c r="B263" s="9">
        <f>'Column Definition'!F269</f>
        <v>0</v>
      </c>
      <c r="C263" s="14" t="str">
        <f>_xlfn.SWITCH(Table4[[#This Row],[Column1]],"int", 0, "Smallint", 0, "tinyint", 0, "Bit", 0, "varchar", "'A'", "nvarchar", "'A'", "char", "'A'", "numeric", 0,"decimal", 0, "date", "'01/01/2000'", "datetime", "'01/01/2000'", "")</f>
        <v/>
      </c>
      <c r="D263" s="3">
        <f>'Column Definition'!C269</f>
        <v>0</v>
      </c>
      <c r="E263" s="9" t="str">
        <f t="shared" si="31"/>
        <v>, 0</v>
      </c>
      <c r="F263" s="9" t="str">
        <f t="shared" si="32"/>
        <v>, s.0</v>
      </c>
      <c r="G263" s="3" t="str">
        <f t="shared" si="34"/>
        <v>OR (s.0 &lt;&gt; t.0 OR ( t.0 Is Null AND s.0 Is Not Null) OR ( t.0 Is not Null AND s.0 Is  Null))</v>
      </c>
      <c r="H263" s="9" t="str">
        <f t="shared" si="33"/>
        <v>, t.0 = s.0</v>
      </c>
    </row>
    <row r="264" spans="2:8" x14ac:dyDescent="0.25">
      <c r="B264" s="9">
        <f>'Column Definition'!F270</f>
        <v>0</v>
      </c>
      <c r="C264" s="14" t="str">
        <f>_xlfn.SWITCH(Table4[[#This Row],[Column1]],"int", 0, "Smallint", 0, "tinyint", 0, "Bit", 0, "varchar", "'A'", "nvarchar", "'A'", "char", "'A'", "numeric", 0,"decimal", 0, "date", "'01/01/2000'", "datetime", "'01/01/2000'", "")</f>
        <v/>
      </c>
      <c r="D264" s="3">
        <f>'Column Definition'!C270</f>
        <v>0</v>
      </c>
      <c r="E264" s="9" t="str">
        <f t="shared" si="31"/>
        <v>, 0</v>
      </c>
      <c r="F264" s="9" t="str">
        <f t="shared" si="32"/>
        <v>, s.0</v>
      </c>
      <c r="G264" s="3" t="str">
        <f t="shared" si="34"/>
        <v>OR (s.0 &lt;&gt; t.0 OR ( t.0 Is Null AND s.0 Is Not Null) OR ( t.0 Is not Null AND s.0 Is  Null))</v>
      </c>
      <c r="H264" s="9" t="str">
        <f t="shared" si="33"/>
        <v>, t.0 = s.0</v>
      </c>
    </row>
    <row r="265" spans="2:8" x14ac:dyDescent="0.25">
      <c r="B265" s="9">
        <f>'Column Definition'!F271</f>
        <v>0</v>
      </c>
      <c r="C265" s="14" t="str">
        <f>_xlfn.SWITCH(Table4[[#This Row],[Column1]],"int", 0, "Smallint", 0, "tinyint", 0, "Bit", 0, "varchar", "'A'", "nvarchar", "'A'", "char", "'A'", "numeric", 0,"decimal", 0, "date", "'01/01/2000'", "datetime", "'01/01/2000'", "")</f>
        <v/>
      </c>
      <c r="D265" s="3">
        <f>'Column Definition'!C271</f>
        <v>0</v>
      </c>
      <c r="E265" s="9" t="str">
        <f t="shared" si="31"/>
        <v>, 0</v>
      </c>
      <c r="F265" s="9" t="str">
        <f t="shared" si="32"/>
        <v>, s.0</v>
      </c>
      <c r="G265" s="3" t="str">
        <f t="shared" si="34"/>
        <v>OR (s.0 &lt;&gt; t.0 OR ( t.0 Is Null AND s.0 Is Not Null) OR ( t.0 Is not Null AND s.0 Is  Null))</v>
      </c>
      <c r="H265" s="9" t="str">
        <f t="shared" si="33"/>
        <v>, t.0 = s.0</v>
      </c>
    </row>
    <row r="266" spans="2:8" x14ac:dyDescent="0.25">
      <c r="B266" s="9">
        <f>'Column Definition'!F272</f>
        <v>0</v>
      </c>
      <c r="C266" s="14" t="str">
        <f>_xlfn.SWITCH(Table4[[#This Row],[Column1]],"int", 0, "Smallint", 0, "tinyint", 0, "Bit", 0, "varchar", "'A'", "nvarchar", "'A'", "char", "'A'", "numeric", 0,"decimal", 0, "date", "'01/01/2000'", "datetime", "'01/01/2000'", "")</f>
        <v/>
      </c>
      <c r="D266" s="3">
        <f>'Column Definition'!C272</f>
        <v>0</v>
      </c>
      <c r="E266" s="9" t="str">
        <f t="shared" si="31"/>
        <v>, 0</v>
      </c>
      <c r="F266" s="9" t="str">
        <f t="shared" si="32"/>
        <v>, s.0</v>
      </c>
      <c r="G266" s="3" t="str">
        <f t="shared" si="34"/>
        <v>OR (s.0 &lt;&gt; t.0 OR ( t.0 Is Null AND s.0 Is Not Null) OR ( t.0 Is not Null AND s.0 Is  Null))</v>
      </c>
      <c r="H266" s="9" t="str">
        <f t="shared" si="33"/>
        <v>, t.0 = s.0</v>
      </c>
    </row>
    <row r="267" spans="2:8" x14ac:dyDescent="0.25">
      <c r="B267" s="9">
        <f>'Column Definition'!F273</f>
        <v>0</v>
      </c>
      <c r="C267" s="14" t="str">
        <f>_xlfn.SWITCH(Table4[[#This Row],[Column1]],"int", 0, "Smallint", 0, "tinyint", 0, "Bit", 0, "varchar", "'A'", "nvarchar", "'A'", "char", "'A'", "numeric", 0,"decimal", 0, "date", "'01/01/2000'", "datetime", "'01/01/2000'", "")</f>
        <v/>
      </c>
      <c r="D267" s="3">
        <f>'Column Definition'!C273</f>
        <v>0</v>
      </c>
      <c r="E267" s="9" t="str">
        <f t="shared" si="31"/>
        <v>, 0</v>
      </c>
      <c r="F267" s="9" t="str">
        <f t="shared" si="32"/>
        <v>, s.0</v>
      </c>
      <c r="G267" s="3" t="str">
        <f t="shared" si="34"/>
        <v>OR (s.0 &lt;&gt; t.0 OR ( t.0 Is Null AND s.0 Is Not Null) OR ( t.0 Is not Null AND s.0 Is  Null))</v>
      </c>
      <c r="H267" s="9" t="str">
        <f t="shared" si="33"/>
        <v>, t.0 = s.0</v>
      </c>
    </row>
    <row r="268" spans="2:8" x14ac:dyDescent="0.25">
      <c r="B268" s="9">
        <f>'Column Definition'!F274</f>
        <v>0</v>
      </c>
      <c r="C268" s="14" t="str">
        <f>_xlfn.SWITCH(Table4[[#This Row],[Column1]],"int", 0, "Smallint", 0, "tinyint", 0, "Bit", 0, "varchar", "'A'", "nvarchar", "'A'", "char", "'A'", "numeric", 0,"decimal", 0, "date", "'01/01/2000'", "datetime", "'01/01/2000'", "")</f>
        <v/>
      </c>
      <c r="D268" s="3">
        <f>'Column Definition'!C274</f>
        <v>0</v>
      </c>
      <c r="E268" s="9" t="str">
        <f t="shared" si="31"/>
        <v>, 0</v>
      </c>
      <c r="F268" s="9" t="str">
        <f t="shared" si="32"/>
        <v>, s.0</v>
      </c>
      <c r="G268" s="3" t="str">
        <f t="shared" si="34"/>
        <v>OR (s.0 &lt;&gt; t.0 OR ( t.0 Is Null AND s.0 Is Not Null) OR ( t.0 Is not Null AND s.0 Is  Null))</v>
      </c>
      <c r="H268" s="9" t="str">
        <f t="shared" si="33"/>
        <v>, t.0 = s.0</v>
      </c>
    </row>
    <row r="269" spans="2:8" x14ac:dyDescent="0.25">
      <c r="B269" s="9">
        <f>'Column Definition'!F275</f>
        <v>0</v>
      </c>
      <c r="C269" s="14" t="str">
        <f>_xlfn.SWITCH(Table4[[#This Row],[Column1]],"int", 0, "Smallint", 0, "tinyint", 0, "Bit", 0, "varchar", "'A'", "nvarchar", "'A'", "char", "'A'", "numeric", 0,"decimal", 0, "date", "'01/01/2000'", "datetime", "'01/01/2000'", "")</f>
        <v/>
      </c>
      <c r="D269" s="3">
        <f>'Column Definition'!C275</f>
        <v>0</v>
      </c>
      <c r="E269" s="9" t="str">
        <f t="shared" si="31"/>
        <v>, 0</v>
      </c>
      <c r="F269" s="9" t="str">
        <f t="shared" si="32"/>
        <v>, s.0</v>
      </c>
      <c r="G269" s="3" t="str">
        <f t="shared" si="34"/>
        <v>OR (s.0 &lt;&gt; t.0 OR ( t.0 Is Null AND s.0 Is Not Null) OR ( t.0 Is not Null AND s.0 Is  Null))</v>
      </c>
      <c r="H269" s="9" t="str">
        <f t="shared" si="33"/>
        <v>, t.0 = s.0</v>
      </c>
    </row>
    <row r="270" spans="2:8" x14ac:dyDescent="0.25">
      <c r="B270" s="9">
        <f>'Column Definition'!F276</f>
        <v>0</v>
      </c>
      <c r="C270" s="14" t="str">
        <f>_xlfn.SWITCH(Table4[[#This Row],[Column1]],"int", 0, "Smallint", 0, "tinyint", 0, "Bit", 0, "varchar", "'A'", "nvarchar", "'A'", "char", "'A'", "numeric", 0,"decimal", 0, "date", "'01/01/2000'", "datetime", "'01/01/2000'", "")</f>
        <v/>
      </c>
      <c r="D270" s="3">
        <f>'Column Definition'!C276</f>
        <v>0</v>
      </c>
      <c r="E270" s="9" t="str">
        <f t="shared" si="31"/>
        <v>, 0</v>
      </c>
      <c r="F270" s="9" t="str">
        <f t="shared" si="32"/>
        <v>, s.0</v>
      </c>
      <c r="G270" s="3" t="str">
        <f t="shared" si="34"/>
        <v>OR (s.0 &lt;&gt; t.0 OR ( t.0 Is Null AND s.0 Is Not Null) OR ( t.0 Is not Null AND s.0 Is  Null))</v>
      </c>
      <c r="H270" s="9" t="str">
        <f t="shared" si="33"/>
        <v>, t.0 = s.0</v>
      </c>
    </row>
    <row r="271" spans="2:8" x14ac:dyDescent="0.25">
      <c r="B271" s="9">
        <f>'Column Definition'!F277</f>
        <v>0</v>
      </c>
      <c r="C271" s="14" t="str">
        <f>_xlfn.SWITCH(Table4[[#This Row],[Column1]],"int", 0, "Smallint", 0, "tinyint", 0, "Bit", 0, "varchar", "'A'", "nvarchar", "'A'", "char", "'A'", "numeric", 0,"decimal", 0, "date", "'01/01/2000'", "datetime", "'01/01/2000'", "")</f>
        <v/>
      </c>
      <c r="D271" s="3">
        <f>'Column Definition'!C277</f>
        <v>0</v>
      </c>
      <c r="E271" s="9" t="str">
        <f t="shared" si="31"/>
        <v>, 0</v>
      </c>
      <c r="F271" s="9" t="str">
        <f t="shared" si="32"/>
        <v>, s.0</v>
      </c>
      <c r="G271" s="3" t="str">
        <f t="shared" si="34"/>
        <v>OR (s.0 &lt;&gt; t.0 OR ( t.0 Is Null AND s.0 Is Not Null) OR ( t.0 Is not Null AND s.0 Is  Null))</v>
      </c>
      <c r="H271" s="9" t="str">
        <f t="shared" si="33"/>
        <v>, t.0 = s.0</v>
      </c>
    </row>
    <row r="272" spans="2:8" x14ac:dyDescent="0.25">
      <c r="B272" s="9">
        <f>'Column Definition'!F278</f>
        <v>0</v>
      </c>
      <c r="C272" s="14" t="str">
        <f>_xlfn.SWITCH(Table4[[#This Row],[Column1]],"int", 0, "Smallint", 0, "tinyint", 0, "Bit", 0, "varchar", "'A'", "nvarchar", "'A'", "char", "'A'", "numeric", 0,"decimal", 0, "date", "'01/01/2000'", "datetime", "'01/01/2000'", "")</f>
        <v/>
      </c>
      <c r="D272" s="3">
        <f>'Column Definition'!C278</f>
        <v>0</v>
      </c>
      <c r="E272" s="9" t="str">
        <f t="shared" si="31"/>
        <v>, 0</v>
      </c>
      <c r="F272" s="9" t="str">
        <f t="shared" si="32"/>
        <v>, s.0</v>
      </c>
      <c r="G272" s="3" t="str">
        <f t="shared" si="34"/>
        <v>OR (s.0 &lt;&gt; t.0 OR ( t.0 Is Null AND s.0 Is Not Null) OR ( t.0 Is not Null AND s.0 Is  Null))</v>
      </c>
      <c r="H272" s="9" t="str">
        <f t="shared" si="33"/>
        <v>, t.0 = s.0</v>
      </c>
    </row>
    <row r="273" spans="2:8" x14ac:dyDescent="0.25">
      <c r="B273" s="9">
        <f>'Column Definition'!F279</f>
        <v>0</v>
      </c>
      <c r="C273" s="14" t="str">
        <f>_xlfn.SWITCH(Table4[[#This Row],[Column1]],"int", 0, "Smallint", 0, "tinyint", 0, "Bit", 0, "varchar", "'A'", "nvarchar", "'A'", "char", "'A'", "numeric", 0,"decimal", 0, "date", "'01/01/2000'", "datetime", "'01/01/2000'", "")</f>
        <v/>
      </c>
      <c r="D273" s="3">
        <f>'Column Definition'!C279</f>
        <v>0</v>
      </c>
      <c r="E273" s="9" t="str">
        <f t="shared" si="31"/>
        <v>, 0</v>
      </c>
      <c r="F273" s="9" t="str">
        <f t="shared" si="32"/>
        <v>, s.0</v>
      </c>
      <c r="G273" s="3" t="str">
        <f t="shared" si="34"/>
        <v>OR (s.0 &lt;&gt; t.0 OR ( t.0 Is Null AND s.0 Is Not Null) OR ( t.0 Is not Null AND s.0 Is  Null))</v>
      </c>
      <c r="H273" s="9" t="str">
        <f t="shared" si="33"/>
        <v>, t.0 = s.0</v>
      </c>
    </row>
    <row r="274" spans="2:8" x14ac:dyDescent="0.25">
      <c r="B274" s="9">
        <f>'Column Definition'!F280</f>
        <v>0</v>
      </c>
      <c r="C274" s="14" t="str">
        <f>_xlfn.SWITCH(Table4[[#This Row],[Column1]],"int", 0, "Smallint", 0, "tinyint", 0, "Bit", 0, "varchar", "'A'", "nvarchar", "'A'", "char", "'A'", "numeric", 0,"decimal", 0, "date", "'01/01/2000'", "datetime", "'01/01/2000'", "")</f>
        <v/>
      </c>
      <c r="D274" s="3">
        <f>'Column Definition'!C280</f>
        <v>0</v>
      </c>
      <c r="E274" s="9" t="str">
        <f t="shared" si="31"/>
        <v>, 0</v>
      </c>
      <c r="F274" s="9" t="str">
        <f t="shared" si="32"/>
        <v>, s.0</v>
      </c>
      <c r="G274" s="3" t="str">
        <f t="shared" si="34"/>
        <v>OR (s.0 &lt;&gt; t.0 OR ( t.0 Is Null AND s.0 Is Not Null) OR ( t.0 Is not Null AND s.0 Is  Null))</v>
      </c>
      <c r="H274" s="9" t="str">
        <f t="shared" si="33"/>
        <v>, t.0 = s.0</v>
      </c>
    </row>
    <row r="275" spans="2:8" x14ac:dyDescent="0.25">
      <c r="B275" s="9">
        <f>'Column Definition'!F281</f>
        <v>0</v>
      </c>
      <c r="C275" s="14" t="str">
        <f>_xlfn.SWITCH(Table4[[#This Row],[Column1]],"int", 0, "Smallint", 0, "tinyint", 0, "Bit", 0, "varchar", "'A'", "nvarchar", "'A'", "char", "'A'", "numeric", 0,"decimal", 0, "date", "'01/01/2000'", "datetime", "'01/01/2000'", "")</f>
        <v/>
      </c>
      <c r="D275" s="3">
        <f>'Column Definition'!C281</f>
        <v>0</v>
      </c>
      <c r="E275" s="9" t="str">
        <f t="shared" si="31"/>
        <v>, 0</v>
      </c>
      <c r="F275" s="9" t="str">
        <f t="shared" si="32"/>
        <v>, s.0</v>
      </c>
      <c r="G275" s="3" t="str">
        <f t="shared" si="34"/>
        <v>OR (s.0 &lt;&gt; t.0 OR ( t.0 Is Null AND s.0 Is Not Null) OR ( t.0 Is not Null AND s.0 Is  Null))</v>
      </c>
      <c r="H275" s="9" t="str">
        <f t="shared" si="33"/>
        <v>, t.0 = s.0</v>
      </c>
    </row>
    <row r="276" spans="2:8" x14ac:dyDescent="0.25">
      <c r="B276" s="9">
        <f>'Column Definition'!F282</f>
        <v>0</v>
      </c>
      <c r="C276" s="14" t="str">
        <f>_xlfn.SWITCH(Table4[[#This Row],[Column1]],"int", 0, "Smallint", 0, "tinyint", 0, "Bit", 0, "varchar", "'A'", "nvarchar", "'A'", "char", "'A'", "numeric", 0,"decimal", 0, "date", "'01/01/2000'", "datetime", "'01/01/2000'", "")</f>
        <v/>
      </c>
      <c r="D276" s="3">
        <f>'Column Definition'!C282</f>
        <v>0</v>
      </c>
      <c r="E276" s="9" t="str">
        <f t="shared" si="31"/>
        <v>, 0</v>
      </c>
      <c r="F276" s="9" t="str">
        <f t="shared" si="32"/>
        <v>, s.0</v>
      </c>
      <c r="G276" s="3" t="str">
        <f t="shared" si="34"/>
        <v>OR (s.0 &lt;&gt; t.0 OR ( t.0 Is Null AND s.0 Is Not Null) OR ( t.0 Is not Null AND s.0 Is  Null))</v>
      </c>
      <c r="H276" s="9" t="str">
        <f t="shared" si="33"/>
        <v>, t.0 = s.0</v>
      </c>
    </row>
    <row r="277" spans="2:8" x14ac:dyDescent="0.25">
      <c r="B277" s="9">
        <f>'Column Definition'!F283</f>
        <v>0</v>
      </c>
      <c r="C277" s="14" t="str">
        <f>_xlfn.SWITCH(Table4[[#This Row],[Column1]],"int", 0, "Smallint", 0, "tinyint", 0, "Bit", 0, "varchar", "'A'", "nvarchar", "'A'", "char", "'A'", "numeric", 0,"decimal", 0, "date", "'01/01/2000'", "datetime", "'01/01/2000'", "")</f>
        <v/>
      </c>
      <c r="D277" s="3">
        <f>'Column Definition'!C283</f>
        <v>0</v>
      </c>
      <c r="E277" s="9" t="str">
        <f t="shared" si="31"/>
        <v>, 0</v>
      </c>
      <c r="F277" s="9" t="str">
        <f t="shared" si="32"/>
        <v>, s.0</v>
      </c>
      <c r="G277" s="3" t="str">
        <f t="shared" si="34"/>
        <v>OR (s.0 &lt;&gt; t.0 OR ( t.0 Is Null AND s.0 Is Not Null) OR ( t.0 Is not Null AND s.0 Is  Null))</v>
      </c>
      <c r="H277" s="9" t="str">
        <f t="shared" si="33"/>
        <v>, t.0 = s.0</v>
      </c>
    </row>
    <row r="278" spans="2:8" x14ac:dyDescent="0.25">
      <c r="B278" s="9">
        <f>'Column Definition'!F284</f>
        <v>0</v>
      </c>
      <c r="C278" s="14" t="str">
        <f>_xlfn.SWITCH(Table4[[#This Row],[Column1]],"int", 0, "Smallint", 0, "tinyint", 0, "Bit", 0, "varchar", "'A'", "nvarchar", "'A'", "char", "'A'", "numeric", 0,"decimal", 0, "date", "'01/01/2000'", "datetime", "'01/01/2000'", "")</f>
        <v/>
      </c>
      <c r="D278" s="3">
        <f>'Column Definition'!C284</f>
        <v>0</v>
      </c>
      <c r="E278" s="9" t="str">
        <f t="shared" si="31"/>
        <v>, 0</v>
      </c>
      <c r="F278" s="9" t="str">
        <f t="shared" si="32"/>
        <v>, s.0</v>
      </c>
      <c r="G278" s="3" t="str">
        <f t="shared" si="34"/>
        <v>OR (s.0 &lt;&gt; t.0 OR ( t.0 Is Null AND s.0 Is Not Null) OR ( t.0 Is not Null AND s.0 Is  Null))</v>
      </c>
      <c r="H278" s="9" t="str">
        <f t="shared" si="33"/>
        <v>, t.0 = s.0</v>
      </c>
    </row>
    <row r="279" spans="2:8" x14ac:dyDescent="0.25">
      <c r="B279" s="9">
        <f>'Column Definition'!F285</f>
        <v>0</v>
      </c>
      <c r="C279" s="14" t="str">
        <f>_xlfn.SWITCH(Table4[[#This Row],[Column1]],"int", 0, "Smallint", 0, "tinyint", 0, "Bit", 0, "varchar", "'A'", "nvarchar", "'A'", "char", "'A'", "numeric", 0,"decimal", 0, "date", "'01/01/2000'", "datetime", "'01/01/2000'", "")</f>
        <v/>
      </c>
      <c r="D279" s="3">
        <f>'Column Definition'!C285</f>
        <v>0</v>
      </c>
      <c r="E279" s="9" t="str">
        <f t="shared" si="31"/>
        <v>, 0</v>
      </c>
      <c r="F279" s="9" t="str">
        <f t="shared" si="32"/>
        <v>, s.0</v>
      </c>
      <c r="G279" s="3" t="str">
        <f t="shared" si="34"/>
        <v>OR (s.0 &lt;&gt; t.0 OR ( t.0 Is Null AND s.0 Is Not Null) OR ( t.0 Is not Null AND s.0 Is  Null))</v>
      </c>
      <c r="H279" s="9" t="str">
        <f t="shared" si="33"/>
        <v>, t.0 = s.0</v>
      </c>
    </row>
    <row r="280" spans="2:8" x14ac:dyDescent="0.25">
      <c r="B280" s="9">
        <f>'Column Definition'!F286</f>
        <v>0</v>
      </c>
      <c r="C280" s="14" t="str">
        <f>_xlfn.SWITCH(Table4[[#This Row],[Column1]],"int", 0, "Smallint", 0, "tinyint", 0, "Bit", 0, "varchar", "'A'", "nvarchar", "'A'", "char", "'A'", "numeric", 0,"decimal", 0, "date", "'01/01/2000'", "datetime", "'01/01/2000'", "")</f>
        <v/>
      </c>
      <c r="D280" s="3">
        <f>'Column Definition'!C286</f>
        <v>0</v>
      </c>
      <c r="E280" s="9" t="str">
        <f t="shared" ref="E280:E311" si="35">", "&amp;D280</f>
        <v>, 0</v>
      </c>
      <c r="F280" s="9" t="str">
        <f t="shared" ref="F280:F314" si="36">", s."&amp;D280</f>
        <v>, s.0</v>
      </c>
      <c r="G280" s="3" t="str">
        <f t="shared" si="34"/>
        <v>OR (s.0 &lt;&gt; t.0 OR ( t.0 Is Null AND s.0 Is Not Null) OR ( t.0 Is not Null AND s.0 Is  Null))</v>
      </c>
      <c r="H280" s="9" t="str">
        <f t="shared" ref="H280:H314" si="37">", t."&amp; D280  &amp; " = s." &amp; D280</f>
        <v>, t.0 = s.0</v>
      </c>
    </row>
    <row r="281" spans="2:8" x14ac:dyDescent="0.25">
      <c r="B281" s="9">
        <f>'Column Definition'!F287</f>
        <v>0</v>
      </c>
      <c r="C281" s="14" t="str">
        <f>_xlfn.SWITCH(Table4[[#This Row],[Column1]],"int", 0, "Smallint", 0, "tinyint", 0, "Bit", 0, "varchar", "'A'", "nvarchar", "'A'", "char", "'A'", "numeric", 0,"decimal", 0, "date", "'01/01/2000'", "datetime", "'01/01/2000'", "")</f>
        <v/>
      </c>
      <c r="D281" s="3">
        <f>'Column Definition'!C287</f>
        <v>0</v>
      </c>
      <c r="E281" s="9" t="str">
        <f t="shared" si="35"/>
        <v>, 0</v>
      </c>
      <c r="F281" s="9" t="str">
        <f t="shared" si="36"/>
        <v>, s.0</v>
      </c>
      <c r="G281" s="3" t="str">
        <f t="shared" si="34"/>
        <v>OR (s.0 &lt;&gt; t.0 OR ( t.0 Is Null AND s.0 Is Not Null) OR ( t.0 Is not Null AND s.0 Is  Null))</v>
      </c>
      <c r="H281" s="9" t="str">
        <f t="shared" si="37"/>
        <v>, t.0 = s.0</v>
      </c>
    </row>
    <row r="282" spans="2:8" x14ac:dyDescent="0.25">
      <c r="B282" s="9">
        <f>'Column Definition'!F288</f>
        <v>0</v>
      </c>
      <c r="C282" s="14" t="str">
        <f>_xlfn.SWITCH(Table4[[#This Row],[Column1]],"int", 0, "Smallint", 0, "tinyint", 0, "Bit", 0, "varchar", "'A'", "nvarchar", "'A'", "char", "'A'", "numeric", 0,"decimal", 0, "date", "'01/01/2000'", "datetime", "'01/01/2000'", "")</f>
        <v/>
      </c>
      <c r="D282" s="3">
        <f>'Column Definition'!C288</f>
        <v>0</v>
      </c>
      <c r="E282" s="9" t="str">
        <f t="shared" si="35"/>
        <v>, 0</v>
      </c>
      <c r="F282" s="9" t="str">
        <f t="shared" si="36"/>
        <v>, s.0</v>
      </c>
      <c r="G282" s="3" t="str">
        <f t="shared" si="34"/>
        <v>OR (s.0 &lt;&gt; t.0 OR ( t.0 Is Null AND s.0 Is Not Null) OR ( t.0 Is not Null AND s.0 Is  Null))</v>
      </c>
      <c r="H282" s="9" t="str">
        <f t="shared" si="37"/>
        <v>, t.0 = s.0</v>
      </c>
    </row>
    <row r="283" spans="2:8" x14ac:dyDescent="0.25">
      <c r="B283" s="9">
        <f>'Column Definition'!F289</f>
        <v>0</v>
      </c>
      <c r="C283" s="14" t="str">
        <f>_xlfn.SWITCH(Table4[[#This Row],[Column1]],"int", 0, "Smallint", 0, "tinyint", 0, "Bit", 0, "varchar", "'A'", "nvarchar", "'A'", "char", "'A'", "numeric", 0,"decimal", 0, "date", "'01/01/2000'", "datetime", "'01/01/2000'", "")</f>
        <v/>
      </c>
      <c r="D283" s="3">
        <f>'Column Definition'!C289</f>
        <v>0</v>
      </c>
      <c r="E283" s="9" t="str">
        <f t="shared" si="35"/>
        <v>, 0</v>
      </c>
      <c r="F283" s="9" t="str">
        <f t="shared" si="36"/>
        <v>, s.0</v>
      </c>
      <c r="G283" s="3" t="str">
        <f t="shared" si="34"/>
        <v>OR (s.0 &lt;&gt; t.0 OR ( t.0 Is Null AND s.0 Is Not Null) OR ( t.0 Is not Null AND s.0 Is  Null))</v>
      </c>
      <c r="H283" s="9" t="str">
        <f t="shared" si="37"/>
        <v>, t.0 = s.0</v>
      </c>
    </row>
    <row r="284" spans="2:8" x14ac:dyDescent="0.25">
      <c r="B284" s="9">
        <f>'Column Definition'!F290</f>
        <v>0</v>
      </c>
      <c r="C284" s="14" t="str">
        <f>_xlfn.SWITCH(Table4[[#This Row],[Column1]],"int", 0, "Smallint", 0, "tinyint", 0, "Bit", 0, "varchar", "'A'", "nvarchar", "'A'", "char", "'A'", "numeric", 0,"decimal", 0, "date", "'01/01/2000'", "datetime", "'01/01/2000'", "")</f>
        <v/>
      </c>
      <c r="D284" s="3">
        <f>'Column Definition'!C290</f>
        <v>0</v>
      </c>
      <c r="E284" s="9" t="str">
        <f t="shared" si="35"/>
        <v>, 0</v>
      </c>
      <c r="F284" s="9" t="str">
        <f t="shared" si="36"/>
        <v>, s.0</v>
      </c>
      <c r="G284" s="3" t="str">
        <f t="shared" si="34"/>
        <v>OR (s.0 &lt;&gt; t.0 OR ( t.0 Is Null AND s.0 Is Not Null) OR ( t.0 Is not Null AND s.0 Is  Null))</v>
      </c>
      <c r="H284" s="9" t="str">
        <f t="shared" si="37"/>
        <v>, t.0 = s.0</v>
      </c>
    </row>
    <row r="285" spans="2:8" x14ac:dyDescent="0.25">
      <c r="B285" s="9">
        <f>'Column Definition'!F291</f>
        <v>0</v>
      </c>
      <c r="C285" s="14" t="str">
        <f>_xlfn.SWITCH(Table4[[#This Row],[Column1]],"int", 0, "Smallint", 0, "tinyint", 0, "Bit", 0, "varchar", "'A'", "nvarchar", "'A'", "char", "'A'", "numeric", 0,"decimal", 0, "date", "'01/01/2000'", "datetime", "'01/01/2000'", "")</f>
        <v/>
      </c>
      <c r="D285" s="3">
        <f>'Column Definition'!C291</f>
        <v>0</v>
      </c>
      <c r="E285" s="9" t="str">
        <f t="shared" si="35"/>
        <v>, 0</v>
      </c>
      <c r="F285" s="9" t="str">
        <f t="shared" si="36"/>
        <v>, s.0</v>
      </c>
      <c r="G285" s="3" t="str">
        <f t="shared" si="34"/>
        <v>OR (s.0 &lt;&gt; t.0 OR ( t.0 Is Null AND s.0 Is Not Null) OR ( t.0 Is not Null AND s.0 Is  Null))</v>
      </c>
      <c r="H285" s="9" t="str">
        <f t="shared" si="37"/>
        <v>, t.0 = s.0</v>
      </c>
    </row>
    <row r="286" spans="2:8" x14ac:dyDescent="0.25">
      <c r="B286" s="9">
        <f>'Column Definition'!F292</f>
        <v>0</v>
      </c>
      <c r="C286" s="14" t="str">
        <f>_xlfn.SWITCH(Table4[[#This Row],[Column1]],"int", 0, "Smallint", 0, "tinyint", 0, "Bit", 0, "varchar", "'A'", "nvarchar", "'A'", "char", "'A'", "numeric", 0,"decimal", 0, "date", "'01/01/2000'", "datetime", "'01/01/2000'", "")</f>
        <v/>
      </c>
      <c r="D286" s="3">
        <f>'Column Definition'!C292</f>
        <v>0</v>
      </c>
      <c r="E286" s="9" t="str">
        <f t="shared" si="35"/>
        <v>, 0</v>
      </c>
      <c r="F286" s="9" t="str">
        <f t="shared" si="36"/>
        <v>, s.0</v>
      </c>
      <c r="G286" s="3" t="str">
        <f t="shared" si="34"/>
        <v>OR (s.0 &lt;&gt; t.0 OR ( t.0 Is Null AND s.0 Is Not Null) OR ( t.0 Is not Null AND s.0 Is  Null))</v>
      </c>
      <c r="H286" s="9" t="str">
        <f t="shared" si="37"/>
        <v>, t.0 = s.0</v>
      </c>
    </row>
    <row r="287" spans="2:8" x14ac:dyDescent="0.25">
      <c r="B287" s="9">
        <f>'Column Definition'!F293</f>
        <v>0</v>
      </c>
      <c r="C287" s="14" t="str">
        <f>_xlfn.SWITCH(Table4[[#This Row],[Column1]],"int", 0, "Smallint", 0, "tinyint", 0, "Bit", 0, "varchar", "'A'", "nvarchar", "'A'", "char", "'A'", "numeric", 0,"decimal", 0, "date", "'01/01/2000'", "datetime", "'01/01/2000'", "")</f>
        <v/>
      </c>
      <c r="D287" s="3">
        <f>'Column Definition'!C293</f>
        <v>0</v>
      </c>
      <c r="E287" s="9" t="str">
        <f t="shared" si="35"/>
        <v>, 0</v>
      </c>
      <c r="F287" s="9" t="str">
        <f t="shared" si="36"/>
        <v>, s.0</v>
      </c>
      <c r="G287" s="3" t="str">
        <f t="shared" si="34"/>
        <v>OR (s.0 &lt;&gt; t.0 OR ( t.0 Is Null AND s.0 Is Not Null) OR ( t.0 Is not Null AND s.0 Is  Null))</v>
      </c>
      <c r="H287" s="9" t="str">
        <f t="shared" si="37"/>
        <v>, t.0 = s.0</v>
      </c>
    </row>
    <row r="288" spans="2:8" x14ac:dyDescent="0.25">
      <c r="B288" s="9">
        <f>'Column Definition'!F294</f>
        <v>0</v>
      </c>
      <c r="C288" s="14" t="str">
        <f>_xlfn.SWITCH(Table4[[#This Row],[Column1]],"int", 0, "Smallint", 0, "tinyint", 0, "Bit", 0, "varchar", "'A'", "nvarchar", "'A'", "char", "'A'", "numeric", 0,"decimal", 0, "date", "'01/01/2000'", "datetime", "'01/01/2000'", "")</f>
        <v/>
      </c>
      <c r="D288" s="3">
        <f>'Column Definition'!C294</f>
        <v>0</v>
      </c>
      <c r="E288" s="9" t="str">
        <f t="shared" si="35"/>
        <v>, 0</v>
      </c>
      <c r="F288" s="9" t="str">
        <f t="shared" si="36"/>
        <v>, s.0</v>
      </c>
      <c r="G288" s="3" t="str">
        <f t="shared" si="34"/>
        <v>OR (s.0 &lt;&gt; t.0 OR ( t.0 Is Null AND s.0 Is Not Null) OR ( t.0 Is not Null AND s.0 Is  Null))</v>
      </c>
      <c r="H288" s="9" t="str">
        <f t="shared" si="37"/>
        <v>, t.0 = s.0</v>
      </c>
    </row>
    <row r="289" spans="2:8" x14ac:dyDescent="0.25">
      <c r="B289" s="9">
        <f>'Column Definition'!F295</f>
        <v>0</v>
      </c>
      <c r="C289" s="14" t="str">
        <f>_xlfn.SWITCH(Table4[[#This Row],[Column1]],"int", 0, "Smallint", 0, "tinyint", 0, "Bit", 0, "varchar", "'A'", "nvarchar", "'A'", "char", "'A'", "numeric", 0,"decimal", 0, "date", "'01/01/2000'", "datetime", "'01/01/2000'", "")</f>
        <v/>
      </c>
      <c r="D289" s="3">
        <f>'Column Definition'!C295</f>
        <v>0</v>
      </c>
      <c r="E289" s="9" t="str">
        <f t="shared" si="35"/>
        <v>, 0</v>
      </c>
      <c r="F289" s="9" t="str">
        <f t="shared" si="36"/>
        <v>, s.0</v>
      </c>
      <c r="G289" s="3" t="str">
        <f t="shared" si="34"/>
        <v>OR (s.0 &lt;&gt; t.0 OR ( t.0 Is Null AND s.0 Is Not Null) OR ( t.0 Is not Null AND s.0 Is  Null))</v>
      </c>
      <c r="H289" s="9" t="str">
        <f t="shared" si="37"/>
        <v>, t.0 = s.0</v>
      </c>
    </row>
    <row r="290" spans="2:8" x14ac:dyDescent="0.25">
      <c r="B290" s="9">
        <f>'Column Definition'!F296</f>
        <v>0</v>
      </c>
      <c r="C290" s="14" t="str">
        <f>_xlfn.SWITCH(Table4[[#This Row],[Column1]],"int", 0, "Smallint", 0, "tinyint", 0, "Bit", 0, "varchar", "'A'", "nvarchar", "'A'", "char", "'A'", "numeric", 0,"decimal", 0, "date", "'01/01/2000'", "datetime", "'01/01/2000'", "")</f>
        <v/>
      </c>
      <c r="D290" s="3">
        <f>'Column Definition'!C296</f>
        <v>0</v>
      </c>
      <c r="E290" s="9" t="str">
        <f t="shared" si="35"/>
        <v>, 0</v>
      </c>
      <c r="F290" s="9" t="str">
        <f t="shared" si="36"/>
        <v>, s.0</v>
      </c>
      <c r="G290" s="3" t="str">
        <f t="shared" si="34"/>
        <v>OR (s.0 &lt;&gt; t.0 OR ( t.0 Is Null AND s.0 Is Not Null) OR ( t.0 Is not Null AND s.0 Is  Null))</v>
      </c>
      <c r="H290" s="9" t="str">
        <f t="shared" si="37"/>
        <v>, t.0 = s.0</v>
      </c>
    </row>
    <row r="291" spans="2:8" x14ac:dyDescent="0.25">
      <c r="B291" s="9">
        <f>'Column Definition'!F297</f>
        <v>0</v>
      </c>
      <c r="C291" s="14" t="str">
        <f>_xlfn.SWITCH(Table4[[#This Row],[Column1]],"int", 0, "Smallint", 0, "tinyint", 0, "Bit", 0, "varchar", "'A'", "nvarchar", "'A'", "char", "'A'", "numeric", 0,"decimal", 0, "date", "'01/01/2000'", "datetime", "'01/01/2000'", "")</f>
        <v/>
      </c>
      <c r="D291" s="3">
        <f>'Column Definition'!C297</f>
        <v>0</v>
      </c>
      <c r="E291" s="9" t="str">
        <f t="shared" si="35"/>
        <v>, 0</v>
      </c>
      <c r="F291" s="9" t="str">
        <f t="shared" si="36"/>
        <v>, s.0</v>
      </c>
      <c r="G291" s="3" t="str">
        <f t="shared" si="34"/>
        <v>OR (s.0 &lt;&gt; t.0 OR ( t.0 Is Null AND s.0 Is Not Null) OR ( t.0 Is not Null AND s.0 Is  Null))</v>
      </c>
      <c r="H291" s="9" t="str">
        <f t="shared" si="37"/>
        <v>, t.0 = s.0</v>
      </c>
    </row>
    <row r="292" spans="2:8" x14ac:dyDescent="0.25">
      <c r="B292" s="9">
        <f>'Column Definition'!F298</f>
        <v>0</v>
      </c>
      <c r="C292" s="14" t="str">
        <f>_xlfn.SWITCH(Table4[[#This Row],[Column1]],"int", 0, "Smallint", 0, "tinyint", 0, "Bit", 0, "varchar", "'A'", "nvarchar", "'A'", "char", "'A'", "numeric", 0,"decimal", 0, "date", "'01/01/2000'", "datetime", "'01/01/2000'", "")</f>
        <v/>
      </c>
      <c r="D292" s="3">
        <f>'Column Definition'!C298</f>
        <v>0</v>
      </c>
      <c r="E292" s="9" t="str">
        <f t="shared" si="35"/>
        <v>, 0</v>
      </c>
      <c r="F292" s="9" t="str">
        <f t="shared" si="36"/>
        <v>, s.0</v>
      </c>
      <c r="G292" s="3" t="str">
        <f t="shared" si="34"/>
        <v>OR (s.0 &lt;&gt; t.0 OR ( t.0 Is Null AND s.0 Is Not Null) OR ( t.0 Is not Null AND s.0 Is  Null))</v>
      </c>
      <c r="H292" s="9" t="str">
        <f t="shared" si="37"/>
        <v>, t.0 = s.0</v>
      </c>
    </row>
    <row r="293" spans="2:8" x14ac:dyDescent="0.25">
      <c r="B293" s="9">
        <f>'Column Definition'!F299</f>
        <v>0</v>
      </c>
      <c r="C293" s="14" t="str">
        <f>_xlfn.SWITCH(Table4[[#This Row],[Column1]],"int", 0, "Smallint", 0, "tinyint", 0, "Bit", 0, "varchar", "'A'", "nvarchar", "'A'", "char", "'A'", "numeric", 0,"decimal", 0, "date", "'01/01/2000'", "datetime", "'01/01/2000'", "")</f>
        <v/>
      </c>
      <c r="D293" s="3">
        <f>'Column Definition'!C299</f>
        <v>0</v>
      </c>
      <c r="E293" s="9" t="str">
        <f t="shared" si="35"/>
        <v>, 0</v>
      </c>
      <c r="F293" s="9" t="str">
        <f t="shared" si="36"/>
        <v>, s.0</v>
      </c>
      <c r="G293" s="3" t="str">
        <f t="shared" si="34"/>
        <v>OR (s.0 &lt;&gt; t.0 OR ( t.0 Is Null AND s.0 Is Not Null) OR ( t.0 Is not Null AND s.0 Is  Null))</v>
      </c>
      <c r="H293" s="9" t="str">
        <f t="shared" si="37"/>
        <v>, t.0 = s.0</v>
      </c>
    </row>
    <row r="294" spans="2:8" x14ac:dyDescent="0.25">
      <c r="B294" s="9">
        <f>'Column Definition'!F300</f>
        <v>0</v>
      </c>
      <c r="C294" s="14" t="str">
        <f>_xlfn.SWITCH(Table4[[#This Row],[Column1]],"int", 0, "Smallint", 0, "tinyint", 0, "Bit", 0, "varchar", "'A'", "nvarchar", "'A'", "char", "'A'", "numeric", 0,"decimal", 0, "date", "'01/01/2000'", "datetime", "'01/01/2000'", "")</f>
        <v/>
      </c>
      <c r="D294" s="3">
        <f>'Column Definition'!C300</f>
        <v>0</v>
      </c>
      <c r="E294" s="9" t="str">
        <f t="shared" si="35"/>
        <v>, 0</v>
      </c>
      <c r="F294" s="9" t="str">
        <f t="shared" si="36"/>
        <v>, s.0</v>
      </c>
      <c r="G294" s="3" t="str">
        <f t="shared" si="34"/>
        <v>OR (s.0 &lt;&gt; t.0 OR ( t.0 Is Null AND s.0 Is Not Null) OR ( t.0 Is not Null AND s.0 Is  Null))</v>
      </c>
      <c r="H294" s="9" t="str">
        <f t="shared" si="37"/>
        <v>, t.0 = s.0</v>
      </c>
    </row>
    <row r="295" spans="2:8" x14ac:dyDescent="0.25">
      <c r="B295" s="9">
        <f>'Column Definition'!F301</f>
        <v>0</v>
      </c>
      <c r="C295" s="14" t="str">
        <f>_xlfn.SWITCH(Table4[[#This Row],[Column1]],"int", 0, "Smallint", 0, "tinyint", 0, "Bit", 0, "varchar", "'A'", "nvarchar", "'A'", "char", "'A'", "numeric", 0,"decimal", 0, "date", "'01/01/2000'", "datetime", "'01/01/2000'", "")</f>
        <v/>
      </c>
      <c r="D295" s="3">
        <f>'Column Definition'!C301</f>
        <v>0</v>
      </c>
      <c r="E295" s="9" t="str">
        <f t="shared" si="35"/>
        <v>, 0</v>
      </c>
      <c r="F295" s="9" t="str">
        <f t="shared" si="36"/>
        <v>, s.0</v>
      </c>
      <c r="G295" s="3" t="str">
        <f t="shared" si="34"/>
        <v>OR (s.0 &lt;&gt; t.0 OR ( t.0 Is Null AND s.0 Is Not Null) OR ( t.0 Is not Null AND s.0 Is  Null))</v>
      </c>
      <c r="H295" s="9" t="str">
        <f t="shared" si="37"/>
        <v>, t.0 = s.0</v>
      </c>
    </row>
    <row r="296" spans="2:8" x14ac:dyDescent="0.25">
      <c r="B296" s="9">
        <f>'Column Definition'!F302</f>
        <v>0</v>
      </c>
      <c r="C296" s="14" t="str">
        <f>_xlfn.SWITCH(Table4[[#This Row],[Column1]],"int", 0, "Smallint", 0, "tinyint", 0, "Bit", 0, "varchar", "'A'", "nvarchar", "'A'", "char", "'A'", "numeric", 0,"decimal", 0, "date", "'01/01/2000'", "datetime", "'01/01/2000'", "")</f>
        <v/>
      </c>
      <c r="D296" s="3">
        <f>'Column Definition'!C302</f>
        <v>0</v>
      </c>
      <c r="E296" s="9" t="str">
        <f t="shared" si="35"/>
        <v>, 0</v>
      </c>
      <c r="F296" s="9" t="str">
        <f t="shared" si="36"/>
        <v>, s.0</v>
      </c>
      <c r="G296" s="3" t="str">
        <f t="shared" si="34"/>
        <v>OR (s.0 &lt;&gt; t.0 OR ( t.0 Is Null AND s.0 Is Not Null) OR ( t.0 Is not Null AND s.0 Is  Null))</v>
      </c>
      <c r="H296" s="9" t="str">
        <f t="shared" si="37"/>
        <v>, t.0 = s.0</v>
      </c>
    </row>
    <row r="297" spans="2:8" x14ac:dyDescent="0.25">
      <c r="B297" s="9">
        <f>'Column Definition'!F303</f>
        <v>0</v>
      </c>
      <c r="C297" s="14" t="str">
        <f>_xlfn.SWITCH(Table4[[#This Row],[Column1]],"int", 0, "Smallint", 0, "tinyint", 0, "Bit", 0, "varchar", "'A'", "nvarchar", "'A'", "char", "'A'", "numeric", 0,"decimal", 0, "date", "'01/01/2000'", "datetime", "'01/01/2000'", "")</f>
        <v/>
      </c>
      <c r="D297" s="3">
        <f>'Column Definition'!C303</f>
        <v>0</v>
      </c>
      <c r="E297" s="9" t="str">
        <f t="shared" si="35"/>
        <v>, 0</v>
      </c>
      <c r="F297" s="9" t="str">
        <f t="shared" si="36"/>
        <v>, s.0</v>
      </c>
      <c r="G297" s="3" t="str">
        <f t="shared" si="34"/>
        <v>OR (s.0 &lt;&gt; t.0 OR ( t.0 Is Null AND s.0 Is Not Null) OR ( t.0 Is not Null AND s.0 Is  Null))</v>
      </c>
      <c r="H297" s="9" t="str">
        <f t="shared" si="37"/>
        <v>, t.0 = s.0</v>
      </c>
    </row>
    <row r="298" spans="2:8" x14ac:dyDescent="0.25">
      <c r="B298" s="9">
        <f>'Column Definition'!F304</f>
        <v>0</v>
      </c>
      <c r="C298" s="14" t="str">
        <f>_xlfn.SWITCH(Table4[[#This Row],[Column1]],"int", 0, "Smallint", 0, "tinyint", 0, "Bit", 0, "varchar", "'A'", "nvarchar", "'A'", "char", "'A'", "numeric", 0,"decimal", 0, "date", "'01/01/2000'", "datetime", "'01/01/2000'", "")</f>
        <v/>
      </c>
      <c r="D298" s="3">
        <f>'Column Definition'!C304</f>
        <v>0</v>
      </c>
      <c r="E298" s="9" t="str">
        <f t="shared" si="35"/>
        <v>, 0</v>
      </c>
      <c r="F298" s="9" t="str">
        <f t="shared" si="36"/>
        <v>, s.0</v>
      </c>
      <c r="G298" s="3" t="str">
        <f t="shared" si="34"/>
        <v>OR (s.0 &lt;&gt; t.0 OR ( t.0 Is Null AND s.0 Is Not Null) OR ( t.0 Is not Null AND s.0 Is  Null))</v>
      </c>
      <c r="H298" s="9" t="str">
        <f t="shared" si="37"/>
        <v>, t.0 = s.0</v>
      </c>
    </row>
    <row r="299" spans="2:8" x14ac:dyDescent="0.25">
      <c r="B299" s="9">
        <f>'Column Definition'!F305</f>
        <v>0</v>
      </c>
      <c r="C299" s="14" t="str">
        <f>_xlfn.SWITCH(Table4[[#This Row],[Column1]],"int", 0, "Smallint", 0, "tinyint", 0, "Bit", 0, "varchar", "'A'", "nvarchar", "'A'", "char", "'A'", "numeric", 0,"decimal", 0, "date", "'01/01/2000'", "datetime", "'01/01/2000'", "")</f>
        <v/>
      </c>
      <c r="D299" s="3">
        <f>'Column Definition'!C305</f>
        <v>0</v>
      </c>
      <c r="E299" s="9" t="str">
        <f t="shared" si="35"/>
        <v>, 0</v>
      </c>
      <c r="F299" s="9" t="str">
        <f t="shared" si="36"/>
        <v>, s.0</v>
      </c>
      <c r="G299" s="3" t="str">
        <f t="shared" si="34"/>
        <v>OR (s.0 &lt;&gt; t.0 OR ( t.0 Is Null AND s.0 Is Not Null) OR ( t.0 Is not Null AND s.0 Is  Null))</v>
      </c>
      <c r="H299" s="9" t="str">
        <f t="shared" si="37"/>
        <v>, t.0 = s.0</v>
      </c>
    </row>
    <row r="300" spans="2:8" x14ac:dyDescent="0.25">
      <c r="B300" s="9">
        <f>'Column Definition'!F306</f>
        <v>0</v>
      </c>
      <c r="C300" s="14" t="str">
        <f>_xlfn.SWITCH(Table4[[#This Row],[Column1]],"int", 0, "Smallint", 0, "tinyint", 0, "Bit", 0, "varchar", "'A'", "nvarchar", "'A'", "char", "'A'", "numeric", 0,"decimal", 0, "date", "'01/01/2000'", "datetime", "'01/01/2000'", "")</f>
        <v/>
      </c>
      <c r="D300" s="3">
        <f>'Column Definition'!C306</f>
        <v>0</v>
      </c>
      <c r="E300" s="9" t="str">
        <f t="shared" si="35"/>
        <v>, 0</v>
      </c>
      <c r="F300" s="9" t="str">
        <f t="shared" si="36"/>
        <v>, s.0</v>
      </c>
      <c r="G300" s="3" t="str">
        <f t="shared" si="34"/>
        <v>OR (s.0 &lt;&gt; t.0 OR ( t.0 Is Null AND s.0 Is Not Null) OR ( t.0 Is not Null AND s.0 Is  Null))</v>
      </c>
      <c r="H300" s="9" t="str">
        <f t="shared" si="37"/>
        <v>, t.0 = s.0</v>
      </c>
    </row>
    <row r="301" spans="2:8" x14ac:dyDescent="0.25">
      <c r="B301" s="9">
        <f>'Column Definition'!F307</f>
        <v>0</v>
      </c>
      <c r="C301" s="14" t="str">
        <f>_xlfn.SWITCH(Table4[[#This Row],[Column1]],"int", 0, "Smallint", 0, "tinyint", 0, "Bit", 0, "varchar", "'A'", "nvarchar", "'A'", "char", "'A'", "numeric", 0,"decimal", 0, "date", "'01/01/2000'", "datetime", "'01/01/2000'", "")</f>
        <v/>
      </c>
      <c r="D301" s="3">
        <f>'Column Definition'!C307</f>
        <v>0</v>
      </c>
      <c r="E301" s="9" t="str">
        <f t="shared" si="35"/>
        <v>, 0</v>
      </c>
      <c r="F301" s="9" t="str">
        <f t="shared" si="36"/>
        <v>, s.0</v>
      </c>
      <c r="G301" s="3" t="str">
        <f t="shared" si="34"/>
        <v>OR (s.0 &lt;&gt; t.0 OR ( t.0 Is Null AND s.0 Is Not Null) OR ( t.0 Is not Null AND s.0 Is  Null))</v>
      </c>
      <c r="H301" s="9" t="str">
        <f t="shared" si="37"/>
        <v>, t.0 = s.0</v>
      </c>
    </row>
    <row r="302" spans="2:8" x14ac:dyDescent="0.25">
      <c r="B302" s="9">
        <f>'Column Definition'!F308</f>
        <v>0</v>
      </c>
      <c r="C302" s="14" t="str">
        <f>_xlfn.SWITCH(Table4[[#This Row],[Column1]],"int", 0, "Smallint", 0, "tinyint", 0, "Bit", 0, "varchar", "'A'", "nvarchar", "'A'", "char", "'A'", "numeric", 0,"decimal", 0, "date", "'01/01/2000'", "datetime", "'01/01/2000'", "")</f>
        <v/>
      </c>
      <c r="D302" s="3">
        <f>'Column Definition'!C308</f>
        <v>0</v>
      </c>
      <c r="E302" s="9" t="str">
        <f t="shared" si="35"/>
        <v>, 0</v>
      </c>
      <c r="F302" s="9" t="str">
        <f t="shared" si="36"/>
        <v>, s.0</v>
      </c>
      <c r="G302" s="3" t="str">
        <f t="shared" si="34"/>
        <v>OR (s.0 &lt;&gt; t.0 OR ( t.0 Is Null AND s.0 Is Not Null) OR ( t.0 Is not Null AND s.0 Is  Null))</v>
      </c>
      <c r="H302" s="9" t="str">
        <f t="shared" si="37"/>
        <v>, t.0 = s.0</v>
      </c>
    </row>
    <row r="303" spans="2:8" x14ac:dyDescent="0.25">
      <c r="B303" s="9">
        <f>'Column Definition'!F309</f>
        <v>0</v>
      </c>
      <c r="C303" s="14" t="str">
        <f>_xlfn.SWITCH(Table4[[#This Row],[Column1]],"int", 0, "Smallint", 0, "tinyint", 0, "Bit", 0, "varchar", "'A'", "nvarchar", "'A'", "char", "'A'", "numeric", 0,"decimal", 0, "date", "'01/01/2000'", "datetime", "'01/01/2000'", "")</f>
        <v/>
      </c>
      <c r="D303" s="3">
        <f>'Column Definition'!C309</f>
        <v>0</v>
      </c>
      <c r="E303" s="9" t="str">
        <f t="shared" si="35"/>
        <v>, 0</v>
      </c>
      <c r="F303" s="9" t="str">
        <f t="shared" si="36"/>
        <v>, s.0</v>
      </c>
      <c r="G303" s="3" t="str">
        <f t="shared" si="34"/>
        <v>OR (s.0 &lt;&gt; t.0 OR ( t.0 Is Null AND s.0 Is Not Null) OR ( t.0 Is not Null AND s.0 Is  Null))</v>
      </c>
      <c r="H303" s="9" t="str">
        <f t="shared" si="37"/>
        <v>, t.0 = s.0</v>
      </c>
    </row>
    <row r="304" spans="2:8" x14ac:dyDescent="0.25">
      <c r="B304" s="9">
        <f>'Column Definition'!F310</f>
        <v>0</v>
      </c>
      <c r="C304" s="14" t="str">
        <f>_xlfn.SWITCH(Table4[[#This Row],[Column1]],"int", 0, "Smallint", 0, "tinyint", 0, "Bit", 0, "varchar", "'A'", "nvarchar", "'A'", "char", "'A'", "numeric", 0,"decimal", 0, "date", "'01/01/2000'", "datetime", "'01/01/2000'", "")</f>
        <v/>
      </c>
      <c r="D304" s="3">
        <f>'Column Definition'!C310</f>
        <v>0</v>
      </c>
      <c r="E304" s="9" t="str">
        <f t="shared" si="35"/>
        <v>, 0</v>
      </c>
      <c r="F304" s="9" t="str">
        <f t="shared" si="36"/>
        <v>, s.0</v>
      </c>
      <c r="G304" s="3" t="str">
        <f t="shared" si="34"/>
        <v>OR (s.0 &lt;&gt; t.0 OR ( t.0 Is Null AND s.0 Is Not Null) OR ( t.0 Is not Null AND s.0 Is  Null))</v>
      </c>
      <c r="H304" s="9" t="str">
        <f t="shared" si="37"/>
        <v>, t.0 = s.0</v>
      </c>
    </row>
    <row r="305" spans="2:8" x14ac:dyDescent="0.25">
      <c r="B305" s="9">
        <f>'Column Definition'!F311</f>
        <v>0</v>
      </c>
      <c r="C305" s="14" t="str">
        <f>_xlfn.SWITCH(Table4[[#This Row],[Column1]],"int", 0, "Smallint", 0, "tinyint", 0, "Bit", 0, "varchar", "'A'", "nvarchar", "'A'", "char", "'A'", "numeric", 0,"decimal", 0, "date", "'01/01/2000'", "datetime", "'01/01/2000'", "")</f>
        <v/>
      </c>
      <c r="D305" s="3">
        <f>'Column Definition'!C311</f>
        <v>0</v>
      </c>
      <c r="E305" s="9" t="str">
        <f t="shared" si="35"/>
        <v>, 0</v>
      </c>
      <c r="F305" s="9" t="str">
        <f t="shared" si="36"/>
        <v>, s.0</v>
      </c>
      <c r="G305" s="3" t="str">
        <f t="shared" si="34"/>
        <v>OR (s.0 &lt;&gt; t.0 OR ( t.0 Is Null AND s.0 Is Not Null) OR ( t.0 Is not Null AND s.0 Is  Null))</v>
      </c>
      <c r="H305" s="9" t="str">
        <f t="shared" si="37"/>
        <v>, t.0 = s.0</v>
      </c>
    </row>
    <row r="306" spans="2:8" x14ac:dyDescent="0.25">
      <c r="B306" s="9">
        <f>'Column Definition'!F312</f>
        <v>0</v>
      </c>
      <c r="C306" s="14" t="str">
        <f>_xlfn.SWITCH(Table4[[#This Row],[Column1]],"int", 0, "Smallint", 0, "tinyint", 0, "Bit", 0, "varchar", "'A'", "nvarchar", "'A'", "char", "'A'", "numeric", 0,"decimal", 0, "date", "'01/01/2000'", "datetime", "'01/01/2000'", "")</f>
        <v/>
      </c>
      <c r="D306" s="3">
        <f>'Column Definition'!C312</f>
        <v>0</v>
      </c>
      <c r="E306" s="9" t="str">
        <f t="shared" si="35"/>
        <v>, 0</v>
      </c>
      <c r="F306" s="9" t="str">
        <f t="shared" si="36"/>
        <v>, s.0</v>
      </c>
      <c r="G306" s="3" t="str">
        <f t="shared" si="34"/>
        <v>OR (s.0 &lt;&gt; t.0 OR ( t.0 Is Null AND s.0 Is Not Null) OR ( t.0 Is not Null AND s.0 Is  Null))</v>
      </c>
      <c r="H306" s="9" t="str">
        <f t="shared" si="37"/>
        <v>, t.0 = s.0</v>
      </c>
    </row>
    <row r="307" spans="2:8" x14ac:dyDescent="0.25">
      <c r="B307" s="9">
        <f>'Column Definition'!F313</f>
        <v>0</v>
      </c>
      <c r="C307" s="14" t="str">
        <f>_xlfn.SWITCH(Table4[[#This Row],[Column1]],"int", 0, "Smallint", 0, "tinyint", 0, "Bit", 0, "varchar", "'A'", "nvarchar", "'A'", "char", "'A'", "numeric", 0,"decimal", 0, "date", "'01/01/2000'", "datetime", "'01/01/2000'", "")</f>
        <v/>
      </c>
      <c r="D307" s="3">
        <f>'Column Definition'!C313</f>
        <v>0</v>
      </c>
      <c r="E307" s="9" t="str">
        <f t="shared" si="35"/>
        <v>, 0</v>
      </c>
      <c r="F307" s="9" t="str">
        <f t="shared" si="36"/>
        <v>, s.0</v>
      </c>
      <c r="G307" s="3" t="str">
        <f t="shared" si="34"/>
        <v>OR (s.0 &lt;&gt; t.0 OR ( t.0 Is Null AND s.0 Is Not Null) OR ( t.0 Is not Null AND s.0 Is  Null))</v>
      </c>
      <c r="H307" s="9" t="str">
        <f t="shared" si="37"/>
        <v>, t.0 = s.0</v>
      </c>
    </row>
    <row r="308" spans="2:8" x14ac:dyDescent="0.25">
      <c r="B308" s="9">
        <f>'Column Definition'!F314</f>
        <v>0</v>
      </c>
      <c r="C308" s="14" t="str">
        <f>_xlfn.SWITCH(Table4[[#This Row],[Column1]],"int", 0, "Smallint", 0, "tinyint", 0, "Bit", 0, "varchar", "'A'", "nvarchar", "'A'", "char", "'A'", "numeric", 0,"decimal", 0, "date", "'01/01/2000'", "datetime", "'01/01/2000'", "")</f>
        <v/>
      </c>
      <c r="D308" s="3">
        <f>'Column Definition'!C314</f>
        <v>0</v>
      </c>
      <c r="E308" s="9" t="str">
        <f t="shared" si="35"/>
        <v>, 0</v>
      </c>
      <c r="F308" s="9" t="str">
        <f t="shared" si="36"/>
        <v>, s.0</v>
      </c>
      <c r="G308" s="3" t="str">
        <f t="shared" si="34"/>
        <v>OR (s.0 &lt;&gt; t.0 OR ( t.0 Is Null AND s.0 Is Not Null) OR ( t.0 Is not Null AND s.0 Is  Null))</v>
      </c>
      <c r="H308" s="9" t="str">
        <f t="shared" si="37"/>
        <v>, t.0 = s.0</v>
      </c>
    </row>
    <row r="309" spans="2:8" x14ac:dyDescent="0.25">
      <c r="B309" s="9">
        <f>'Column Definition'!F315</f>
        <v>0</v>
      </c>
      <c r="C309" s="14" t="str">
        <f>_xlfn.SWITCH(Table4[[#This Row],[Column1]],"int", 0, "Smallint", 0, "tinyint", 0, "Bit", 0, "varchar", "'A'", "nvarchar", "'A'", "char", "'A'", "numeric", 0,"decimal", 0, "date", "'01/01/2000'", "datetime", "'01/01/2000'", "")</f>
        <v/>
      </c>
      <c r="D309" s="3">
        <f>'Column Definition'!C315</f>
        <v>0</v>
      </c>
      <c r="E309" s="9" t="str">
        <f t="shared" si="35"/>
        <v>, 0</v>
      </c>
      <c r="F309" s="9" t="str">
        <f t="shared" si="36"/>
        <v>, s.0</v>
      </c>
      <c r="G309" s="3" t="str">
        <f t="shared" si="34"/>
        <v>OR (s.0 &lt;&gt; t.0 OR ( t.0 Is Null AND s.0 Is Not Null) OR ( t.0 Is not Null AND s.0 Is  Null))</v>
      </c>
      <c r="H309" s="9" t="str">
        <f t="shared" si="37"/>
        <v>, t.0 = s.0</v>
      </c>
    </row>
    <row r="310" spans="2:8" x14ac:dyDescent="0.25">
      <c r="B310" s="9">
        <f>'Column Definition'!F316</f>
        <v>0</v>
      </c>
      <c r="C310" s="14" t="str">
        <f>_xlfn.SWITCH(Table4[[#This Row],[Column1]],"int", 0, "Smallint", 0, "tinyint", 0, "Bit", 0, "varchar", "'A'", "nvarchar", "'A'", "char", "'A'", "numeric", 0,"decimal", 0, "date", "'01/01/2000'", "datetime", "'01/01/2000'", "")</f>
        <v/>
      </c>
      <c r="D310" s="3">
        <f>'Column Definition'!C316</f>
        <v>0</v>
      </c>
      <c r="E310" s="9" t="str">
        <f t="shared" si="35"/>
        <v>, 0</v>
      </c>
      <c r="F310" s="9" t="str">
        <f t="shared" si="36"/>
        <v>, s.0</v>
      </c>
      <c r="G310" s="3" t="str">
        <f t="shared" si="34"/>
        <v>OR (s.0 &lt;&gt; t.0 OR ( t.0 Is Null AND s.0 Is Not Null) OR ( t.0 Is not Null AND s.0 Is  Null))</v>
      </c>
      <c r="H310" s="9" t="str">
        <f t="shared" si="37"/>
        <v>, t.0 = s.0</v>
      </c>
    </row>
    <row r="311" spans="2:8" x14ac:dyDescent="0.25">
      <c r="B311" s="9">
        <f>'Column Definition'!F317</f>
        <v>0</v>
      </c>
      <c r="C311" s="14" t="str">
        <f>_xlfn.SWITCH(Table4[[#This Row],[Column1]],"int", 0, "Smallint", 0, "tinyint", 0, "Bit", 0, "varchar", "'A'", "nvarchar", "'A'", "char", "'A'", "numeric", 0,"decimal", 0, "date", "'01/01/2000'", "datetime", "'01/01/2000'", "")</f>
        <v/>
      </c>
      <c r="D311" s="3">
        <f>'Column Definition'!C317</f>
        <v>0</v>
      </c>
      <c r="E311" s="9" t="str">
        <f t="shared" si="35"/>
        <v>, 0</v>
      </c>
      <c r="F311" s="9" t="str">
        <f t="shared" si="36"/>
        <v>, s.0</v>
      </c>
      <c r="G311" s="3" t="str">
        <f t="shared" si="34"/>
        <v>OR (s.0 &lt;&gt; t.0 OR ( t.0 Is Null AND s.0 Is Not Null) OR ( t.0 Is not Null AND s.0 Is  Null))</v>
      </c>
      <c r="H311" s="9" t="str">
        <f t="shared" si="37"/>
        <v>, t.0 = s.0</v>
      </c>
    </row>
    <row r="312" spans="2:8" x14ac:dyDescent="0.25">
      <c r="B312" s="9">
        <f>'Column Definition'!F318</f>
        <v>0</v>
      </c>
      <c r="C312" s="14" t="str">
        <f>_xlfn.SWITCH(Table4[[#This Row],[Column1]],"int", 0, "Smallint", 0, "tinyint", 0, "Bit", 0, "varchar", "'A'", "nvarchar", "'A'", "char", "'A'", "numeric", 0,"decimal", 0, "date", "'01/01/2000'", "datetime", "'01/01/2000'", "")</f>
        <v/>
      </c>
      <c r="D312" s="3">
        <f>'Column Definition'!C318</f>
        <v>0</v>
      </c>
      <c r="E312" s="9" t="str">
        <f>", "&amp;D312</f>
        <v>, 0</v>
      </c>
      <c r="F312" s="9" t="str">
        <f t="shared" si="36"/>
        <v>, s.0</v>
      </c>
      <c r="G312" s="3" t="str">
        <f t="shared" si="34"/>
        <v>OR (s.0 &lt;&gt; t.0 OR ( t.0 Is Null AND s.0 Is Not Null) OR ( t.0 Is not Null AND s.0 Is  Null))</v>
      </c>
      <c r="H312" s="9" t="str">
        <f t="shared" si="37"/>
        <v>, t.0 = s.0</v>
      </c>
    </row>
    <row r="313" spans="2:8" x14ac:dyDescent="0.25">
      <c r="B313" s="9">
        <f>'Column Definition'!F319</f>
        <v>0</v>
      </c>
      <c r="C313" s="14" t="str">
        <f>_xlfn.SWITCH(Table4[[#This Row],[Column1]],"int", 0, "Smallint", 0, "tinyint", 0, "Bit", 0, "varchar", "'A'", "nvarchar", "'A'", "char", "'A'", "numeric", 0,"decimal", 0, "date", "'01/01/2000'", "datetime", "'01/01/2000'", "")</f>
        <v/>
      </c>
      <c r="D313" s="3">
        <f>'Column Definition'!C319</f>
        <v>0</v>
      </c>
      <c r="E313" s="9" t="str">
        <f>", "&amp;D313</f>
        <v>, 0</v>
      </c>
      <c r="F313" s="9" t="str">
        <f t="shared" si="36"/>
        <v>, s.0</v>
      </c>
      <c r="G313" s="3" t="str">
        <f t="shared" si="34"/>
        <v>OR (s.0 &lt;&gt; t.0 OR ( t.0 Is Null AND s.0 Is Not Null) OR ( t.0 Is not Null AND s.0 Is  Null))</v>
      </c>
      <c r="H313" s="9" t="str">
        <f t="shared" si="37"/>
        <v>, t.0 = s.0</v>
      </c>
    </row>
    <row r="314" spans="2:8" x14ac:dyDescent="0.25">
      <c r="B314" s="9">
        <f>'Column Definition'!F320</f>
        <v>0</v>
      </c>
      <c r="C314" s="14" t="str">
        <f>_xlfn.SWITCH(Table4[[#This Row],[Column1]],"int", 0, "Smallint", 0, "tinyint", 0, "Bit", 0, "varchar", "'A'", "nvarchar", "'A'", "char", "'A'", "numeric", 0,"decimal", 0, "date", "'01/01/2000'", "datetime", "'01/01/2000'", "")</f>
        <v/>
      </c>
      <c r="D314" s="3">
        <f>'Column Definition'!C320</f>
        <v>0</v>
      </c>
      <c r="E314" s="9" t="str">
        <f>", "&amp;D314</f>
        <v>, 0</v>
      </c>
      <c r="F314" s="9" t="str">
        <f t="shared" si="36"/>
        <v>, s.0</v>
      </c>
      <c r="G314" s="3" t="str">
        <f t="shared" si="34"/>
        <v>OR (s.0 &lt;&gt; t.0 OR ( t.0 Is Null AND s.0 Is Not Null) OR ( t.0 Is not Null AND s.0 Is  Null))</v>
      </c>
      <c r="H314" s="9" t="str">
        <f t="shared" si="37"/>
        <v>, t.0 = s.0</v>
      </c>
    </row>
    <row r="315" spans="2:8" x14ac:dyDescent="0.25">
      <c r="B315" s="9">
        <f>'Column Definition'!F321</f>
        <v>0</v>
      </c>
      <c r="C315" s="14" t="str">
        <f>_xlfn.SWITCH(Table4[[#This Row],[Column1]],"int", 0, "Smallint", 0, "tinyint", 0, "Bit", 0, "varchar", "'A'", "nvarchar", "'A'", "char", "'A'", "numeric", 0,"decimal", 0, "date", "'01/01/2000'", "datetime", "'01/01/2000'", "")</f>
        <v/>
      </c>
      <c r="D315" s="9">
        <f>'Column Definition'!C321</f>
        <v>0</v>
      </c>
      <c r="E315" s="9" t="str">
        <f>", "&amp;D315</f>
        <v>, 0</v>
      </c>
      <c r="F315" s="9" t="str">
        <f>", s."&amp;D315</f>
        <v>, s.0</v>
      </c>
      <c r="G315" s="3" t="str">
        <f t="shared" si="34"/>
        <v>OR (s.0 &lt;&gt; t.0 OR ( t.0 Is Null AND s.0 Is Not Null) OR ( t.0 Is not Null AND s.0 Is  Null))</v>
      </c>
      <c r="H315" s="9" t="str">
        <f>", t."&amp; D315  &amp; " = s." &amp; D315</f>
        <v>, t.0 = s.0</v>
      </c>
    </row>
    <row r="316" spans="2:8" x14ac:dyDescent="0.25">
      <c r="B316" s="9">
        <f>'Column Definition'!F322</f>
        <v>0</v>
      </c>
      <c r="C316" s="14" t="str">
        <f>_xlfn.SWITCH(Table4[[#This Row],[Column1]],"int", 0, "Smallint", 0, "tinyint", 0, "Bit", 0, "varchar", "'A'", "nvarchar", "'A'", "char", "'A'", "numeric", 0,"decimal", 0, "date", "'01/01/2000'", "datetime", "'01/01/2000'", "")</f>
        <v/>
      </c>
      <c r="D316" s="9">
        <f>'Column Definition'!C322</f>
        <v>0</v>
      </c>
      <c r="E316" s="9" t="str">
        <f t="shared" ref="E316:E329" si="38">", "&amp;D316</f>
        <v>, 0</v>
      </c>
      <c r="F316" s="9" t="str">
        <f t="shared" ref="F316:F329" si="39">", s."&amp;D316</f>
        <v>, s.0</v>
      </c>
      <c r="G316" s="3" t="str">
        <f t="shared" si="34"/>
        <v>OR (s.0 &lt;&gt; t.0 OR ( t.0 Is Null AND s.0 Is Not Null) OR ( t.0 Is not Null AND s.0 Is  Null))</v>
      </c>
      <c r="H316" s="9" t="str">
        <f t="shared" ref="H316:H329" si="40">", t."&amp; D316  &amp; " = s." &amp; D316</f>
        <v>, t.0 = s.0</v>
      </c>
    </row>
    <row r="317" spans="2:8" x14ac:dyDescent="0.25">
      <c r="B317" s="9">
        <f>'Column Definition'!F323</f>
        <v>0</v>
      </c>
      <c r="C317" s="14" t="str">
        <f>_xlfn.SWITCH(Table4[[#This Row],[Column1]],"int", 0, "Smallint", 0, "tinyint", 0, "Bit", 0, "varchar", "'A'", "nvarchar", "'A'", "char", "'A'", "numeric", 0,"decimal", 0, "date", "'01/01/2000'", "datetime", "'01/01/2000'", "")</f>
        <v/>
      </c>
      <c r="D317" s="9">
        <f>'Column Definition'!C323</f>
        <v>0</v>
      </c>
      <c r="E317" s="9" t="str">
        <f t="shared" si="38"/>
        <v>, 0</v>
      </c>
      <c r="F317" s="9" t="str">
        <f t="shared" si="39"/>
        <v>, s.0</v>
      </c>
      <c r="G317" s="3" t="str">
        <f t="shared" si="34"/>
        <v>OR (s.0 &lt;&gt; t.0 OR ( t.0 Is Null AND s.0 Is Not Null) OR ( t.0 Is not Null AND s.0 Is  Null))</v>
      </c>
      <c r="H317" s="9" t="str">
        <f t="shared" si="40"/>
        <v>, t.0 = s.0</v>
      </c>
    </row>
    <row r="318" spans="2:8" x14ac:dyDescent="0.25">
      <c r="B318" s="9">
        <f>'Column Definition'!F324</f>
        <v>0</v>
      </c>
      <c r="C318" s="14" t="str">
        <f>_xlfn.SWITCH(Table4[[#This Row],[Column1]],"int", 0, "Smallint", 0, "tinyint", 0, "Bit", 0, "varchar", "'A'", "nvarchar", "'A'", "char", "'A'", "numeric", 0,"decimal", 0, "date", "'01/01/2000'", "datetime", "'01/01/2000'", "")</f>
        <v/>
      </c>
      <c r="D318" s="9">
        <f>'Column Definition'!C324</f>
        <v>0</v>
      </c>
      <c r="E318" s="9" t="str">
        <f t="shared" si="38"/>
        <v>, 0</v>
      </c>
      <c r="F318" s="9" t="str">
        <f t="shared" si="39"/>
        <v>, s.0</v>
      </c>
      <c r="G318" s="3" t="str">
        <f t="shared" si="34"/>
        <v>OR (s.0 &lt;&gt; t.0 OR ( t.0 Is Null AND s.0 Is Not Null) OR ( t.0 Is not Null AND s.0 Is  Null))</v>
      </c>
      <c r="H318" s="9" t="str">
        <f t="shared" si="40"/>
        <v>, t.0 = s.0</v>
      </c>
    </row>
    <row r="319" spans="2:8" x14ac:dyDescent="0.25">
      <c r="B319" s="9">
        <f>'Column Definition'!F325</f>
        <v>0</v>
      </c>
      <c r="C319" s="14" t="str">
        <f>_xlfn.SWITCH(Table4[[#This Row],[Column1]],"int", 0, "Smallint", 0, "tinyint", 0, "Bit", 0, "varchar", "'A'", "nvarchar", "'A'", "char", "'A'", "numeric", 0,"decimal", 0, "date", "'01/01/2000'", "datetime", "'01/01/2000'", "")</f>
        <v/>
      </c>
      <c r="D319" s="9">
        <f>'Column Definition'!C325</f>
        <v>0</v>
      </c>
      <c r="E319" s="9" t="str">
        <f t="shared" si="38"/>
        <v>, 0</v>
      </c>
      <c r="F319" s="9" t="str">
        <f t="shared" si="39"/>
        <v>, s.0</v>
      </c>
      <c r="G319" s="3" t="str">
        <f t="shared" si="34"/>
        <v>OR (s.0 &lt;&gt; t.0 OR ( t.0 Is Null AND s.0 Is Not Null) OR ( t.0 Is not Null AND s.0 Is  Null))</v>
      </c>
      <c r="H319" s="9" t="str">
        <f t="shared" si="40"/>
        <v>, t.0 = s.0</v>
      </c>
    </row>
    <row r="320" spans="2:8" x14ac:dyDescent="0.25">
      <c r="B320" s="9">
        <f>'Column Definition'!F326</f>
        <v>0</v>
      </c>
      <c r="C320" s="14" t="str">
        <f>_xlfn.SWITCH(Table4[[#This Row],[Column1]],"int", 0, "Smallint", 0, "tinyint", 0, "Bit", 0, "varchar", "'A'", "nvarchar", "'A'", "char", "'A'", "numeric", 0,"decimal", 0, "date", "'01/01/2000'", "datetime", "'01/01/2000'", "")</f>
        <v/>
      </c>
      <c r="D320" s="9">
        <f>'Column Definition'!C326</f>
        <v>0</v>
      </c>
      <c r="E320" s="9" t="str">
        <f t="shared" si="38"/>
        <v>, 0</v>
      </c>
      <c r="F320" s="9" t="str">
        <f t="shared" si="39"/>
        <v>, s.0</v>
      </c>
      <c r="G320" s="3" t="str">
        <f t="shared" si="34"/>
        <v>OR (s.0 &lt;&gt; t.0 OR ( t.0 Is Null AND s.0 Is Not Null) OR ( t.0 Is not Null AND s.0 Is  Null))</v>
      </c>
      <c r="H320" s="9" t="str">
        <f t="shared" si="40"/>
        <v>, t.0 = s.0</v>
      </c>
    </row>
    <row r="321" spans="2:8" x14ac:dyDescent="0.25">
      <c r="B321" s="9">
        <f>'Column Definition'!F327</f>
        <v>0</v>
      </c>
      <c r="C321" s="14" t="str">
        <f>_xlfn.SWITCH(Table4[[#This Row],[Column1]],"int", 0, "Smallint", 0, "tinyint", 0, "Bit", 0, "varchar", "'A'", "nvarchar", "'A'", "char", "'A'", "numeric", 0,"decimal", 0, "date", "'01/01/2000'", "datetime", "'01/01/2000'", "")</f>
        <v/>
      </c>
      <c r="D321" s="9">
        <f>'Column Definition'!C327</f>
        <v>0</v>
      </c>
      <c r="E321" s="9" t="str">
        <f t="shared" si="38"/>
        <v>, 0</v>
      </c>
      <c r="F321" s="9" t="str">
        <f t="shared" si="39"/>
        <v>, s.0</v>
      </c>
      <c r="G321" s="3" t="str">
        <f t="shared" si="34"/>
        <v>OR (s.0 &lt;&gt; t.0 OR ( t.0 Is Null AND s.0 Is Not Null) OR ( t.0 Is not Null AND s.0 Is  Null))</v>
      </c>
      <c r="H321" s="9" t="str">
        <f t="shared" si="40"/>
        <v>, t.0 = s.0</v>
      </c>
    </row>
    <row r="322" spans="2:8" x14ac:dyDescent="0.25">
      <c r="B322" s="9">
        <f>'Column Definition'!F328</f>
        <v>0</v>
      </c>
      <c r="C322" s="14" t="str">
        <f>_xlfn.SWITCH(Table4[[#This Row],[Column1]],"int", 0, "Smallint", 0, "tinyint", 0, "Bit", 0, "varchar", "'A'", "nvarchar", "'A'", "char", "'A'", "numeric", 0,"decimal", 0, "date", "'01/01/2000'", "datetime", "'01/01/2000'", "")</f>
        <v/>
      </c>
      <c r="D322" s="9">
        <f>'Column Definition'!C328</f>
        <v>0</v>
      </c>
      <c r="E322" s="9" t="str">
        <f t="shared" si="38"/>
        <v>, 0</v>
      </c>
      <c r="F322" s="9" t="str">
        <f t="shared" si="39"/>
        <v>, s.0</v>
      </c>
      <c r="G322" s="3" t="str">
        <f t="shared" si="34"/>
        <v>OR (s.0 &lt;&gt; t.0 OR ( t.0 Is Null AND s.0 Is Not Null) OR ( t.0 Is not Null AND s.0 Is  Null))</v>
      </c>
      <c r="H322" s="9" t="str">
        <f t="shared" si="40"/>
        <v>, t.0 = s.0</v>
      </c>
    </row>
    <row r="323" spans="2:8" x14ac:dyDescent="0.25">
      <c r="B323" s="9">
        <f>'Column Definition'!F329</f>
        <v>0</v>
      </c>
      <c r="C323" s="14" t="str">
        <f>_xlfn.SWITCH(Table4[[#This Row],[Column1]],"int", 0, "Smallint", 0, "tinyint", 0, "Bit", 0, "varchar", "'A'", "nvarchar", "'A'", "char", "'A'", "numeric", 0,"decimal", 0, "date", "'01/01/2000'", "datetime", "'01/01/2000'", "")</f>
        <v/>
      </c>
      <c r="D323" s="9">
        <f>'Column Definition'!C329</f>
        <v>0</v>
      </c>
      <c r="E323" s="9" t="str">
        <f t="shared" si="38"/>
        <v>, 0</v>
      </c>
      <c r="F323" s="9" t="str">
        <f t="shared" si="39"/>
        <v>, s.0</v>
      </c>
      <c r="G323" s="3" t="str">
        <f t="shared" si="34"/>
        <v>OR (s.0 &lt;&gt; t.0 OR ( t.0 Is Null AND s.0 Is Not Null) OR ( t.0 Is not Null AND s.0 Is  Null))</v>
      </c>
      <c r="H323" s="9" t="str">
        <f t="shared" si="40"/>
        <v>, t.0 = s.0</v>
      </c>
    </row>
    <row r="324" spans="2:8" x14ac:dyDescent="0.25">
      <c r="B324" s="9">
        <f>'Column Definition'!F330</f>
        <v>0</v>
      </c>
      <c r="C324" s="14" t="str">
        <f>_xlfn.SWITCH(Table4[[#This Row],[Column1]],"int", 0, "Smallint", 0, "tinyint", 0, "Bit", 0, "varchar", "'A'", "nvarchar", "'A'", "char", "'A'", "numeric", 0,"decimal", 0, "date", "'01/01/2000'", "datetime", "'01/01/2000'", "")</f>
        <v/>
      </c>
      <c r="D324" s="9">
        <f>'Column Definition'!C330</f>
        <v>0</v>
      </c>
      <c r="E324" s="9" t="str">
        <f t="shared" si="38"/>
        <v>, 0</v>
      </c>
      <c r="F324" s="9" t="str">
        <f t="shared" si="39"/>
        <v>, s.0</v>
      </c>
      <c r="G324" s="3" t="str">
        <f t="shared" ref="G324:G387" si="41">"OR (s."&amp;D324&amp;" &lt;&gt; t." &amp; D324 &amp; " OR ( t." &amp; D324  &amp; " Is Null AND s." &amp;D324 &amp; " Is Not Null) OR ( t." &amp; D324  &amp; " Is not Null AND s." &amp;D324 &amp; " Is  Null))"</f>
        <v>OR (s.0 &lt;&gt; t.0 OR ( t.0 Is Null AND s.0 Is Not Null) OR ( t.0 Is not Null AND s.0 Is  Null))</v>
      </c>
      <c r="H324" s="9" t="str">
        <f t="shared" si="40"/>
        <v>, t.0 = s.0</v>
      </c>
    </row>
    <row r="325" spans="2:8" x14ac:dyDescent="0.25">
      <c r="B325" s="9">
        <f>'Column Definition'!F331</f>
        <v>0</v>
      </c>
      <c r="C325" s="14" t="str">
        <f>_xlfn.SWITCH(Table4[[#This Row],[Column1]],"int", 0, "Smallint", 0, "tinyint", 0, "Bit", 0, "varchar", "'A'", "nvarchar", "'A'", "char", "'A'", "numeric", 0,"decimal", 0, "date", "'01/01/2000'", "datetime", "'01/01/2000'", "")</f>
        <v/>
      </c>
      <c r="D325" s="9">
        <f>'Column Definition'!C331</f>
        <v>0</v>
      </c>
      <c r="E325" s="9" t="str">
        <f t="shared" si="38"/>
        <v>, 0</v>
      </c>
      <c r="F325" s="9" t="str">
        <f t="shared" si="39"/>
        <v>, s.0</v>
      </c>
      <c r="G325" s="3" t="str">
        <f t="shared" si="41"/>
        <v>OR (s.0 &lt;&gt; t.0 OR ( t.0 Is Null AND s.0 Is Not Null) OR ( t.0 Is not Null AND s.0 Is  Null))</v>
      </c>
      <c r="H325" s="9" t="str">
        <f t="shared" si="40"/>
        <v>, t.0 = s.0</v>
      </c>
    </row>
    <row r="326" spans="2:8" x14ac:dyDescent="0.25">
      <c r="B326" s="9">
        <f>'Column Definition'!F332</f>
        <v>0</v>
      </c>
      <c r="C326" s="14" t="str">
        <f>_xlfn.SWITCH(Table4[[#This Row],[Column1]],"int", 0, "Smallint", 0, "tinyint", 0, "Bit", 0, "varchar", "'A'", "nvarchar", "'A'", "char", "'A'", "numeric", 0,"decimal", 0, "date", "'01/01/2000'", "datetime", "'01/01/2000'", "")</f>
        <v/>
      </c>
      <c r="D326" s="9">
        <f>'Column Definition'!C332</f>
        <v>0</v>
      </c>
      <c r="E326" s="9" t="str">
        <f t="shared" si="38"/>
        <v>, 0</v>
      </c>
      <c r="F326" s="9" t="str">
        <f t="shared" si="39"/>
        <v>, s.0</v>
      </c>
      <c r="G326" s="3" t="str">
        <f t="shared" si="41"/>
        <v>OR (s.0 &lt;&gt; t.0 OR ( t.0 Is Null AND s.0 Is Not Null) OR ( t.0 Is not Null AND s.0 Is  Null))</v>
      </c>
      <c r="H326" s="9" t="str">
        <f t="shared" si="40"/>
        <v>, t.0 = s.0</v>
      </c>
    </row>
    <row r="327" spans="2:8" x14ac:dyDescent="0.25">
      <c r="B327" s="9">
        <f>'Column Definition'!F333</f>
        <v>0</v>
      </c>
      <c r="C327" s="14" t="str">
        <f>_xlfn.SWITCH(Table4[[#This Row],[Column1]],"int", 0, "Smallint", 0, "tinyint", 0, "Bit", 0, "varchar", "'A'", "nvarchar", "'A'", "char", "'A'", "numeric", 0,"decimal", 0, "date", "'01/01/2000'", "datetime", "'01/01/2000'", "")</f>
        <v/>
      </c>
      <c r="D327" s="9">
        <f>'Column Definition'!C333</f>
        <v>0</v>
      </c>
      <c r="E327" s="9" t="str">
        <f t="shared" si="38"/>
        <v>, 0</v>
      </c>
      <c r="F327" s="9" t="str">
        <f t="shared" si="39"/>
        <v>, s.0</v>
      </c>
      <c r="G327" s="3" t="str">
        <f t="shared" si="41"/>
        <v>OR (s.0 &lt;&gt; t.0 OR ( t.0 Is Null AND s.0 Is Not Null) OR ( t.0 Is not Null AND s.0 Is  Null))</v>
      </c>
      <c r="H327" s="9" t="str">
        <f t="shared" si="40"/>
        <v>, t.0 = s.0</v>
      </c>
    </row>
    <row r="328" spans="2:8" x14ac:dyDescent="0.25">
      <c r="B328" s="9">
        <f>'Column Definition'!F334</f>
        <v>0</v>
      </c>
      <c r="C328" s="14" t="str">
        <f>_xlfn.SWITCH(Table4[[#This Row],[Column1]],"int", 0, "Smallint", 0, "tinyint", 0, "Bit", 0, "varchar", "'A'", "nvarchar", "'A'", "char", "'A'", "numeric", 0,"decimal", 0, "date", "'01/01/2000'", "datetime", "'01/01/2000'", "")</f>
        <v/>
      </c>
      <c r="D328" s="9">
        <f>'Column Definition'!C334</f>
        <v>0</v>
      </c>
      <c r="E328" s="9" t="str">
        <f t="shared" si="38"/>
        <v>, 0</v>
      </c>
      <c r="F328" s="9" t="str">
        <f t="shared" si="39"/>
        <v>, s.0</v>
      </c>
      <c r="G328" s="3" t="str">
        <f t="shared" si="41"/>
        <v>OR (s.0 &lt;&gt; t.0 OR ( t.0 Is Null AND s.0 Is Not Null) OR ( t.0 Is not Null AND s.0 Is  Null))</v>
      </c>
      <c r="H328" s="9" t="str">
        <f t="shared" si="40"/>
        <v>, t.0 = s.0</v>
      </c>
    </row>
    <row r="329" spans="2:8" x14ac:dyDescent="0.25">
      <c r="B329" s="9">
        <f>'Column Definition'!F335</f>
        <v>0</v>
      </c>
      <c r="C329" s="14" t="str">
        <f>_xlfn.SWITCH(Table4[[#This Row],[Column1]],"int", 0, "Smallint", 0, "tinyint", 0, "Bit", 0, "varchar", "'A'", "nvarchar", "'A'", "char", "'A'", "numeric", 0,"decimal", 0, "date", "'01/01/2000'", "datetime", "'01/01/2000'", "")</f>
        <v/>
      </c>
      <c r="D329" s="9">
        <f>'Column Definition'!C335</f>
        <v>0</v>
      </c>
      <c r="E329" s="9" t="str">
        <f t="shared" si="38"/>
        <v>, 0</v>
      </c>
      <c r="F329" s="9" t="str">
        <f t="shared" si="39"/>
        <v>, s.0</v>
      </c>
      <c r="G329" s="3" t="str">
        <f t="shared" si="41"/>
        <v>OR (s.0 &lt;&gt; t.0 OR ( t.0 Is Null AND s.0 Is Not Null) OR ( t.0 Is not Null AND s.0 Is  Null))</v>
      </c>
      <c r="H329" s="9" t="str">
        <f t="shared" si="40"/>
        <v>, t.0 = s.0</v>
      </c>
    </row>
    <row r="330" spans="2:8" x14ac:dyDescent="0.25">
      <c r="B330" s="9">
        <f>'Column Definition'!F336</f>
        <v>0</v>
      </c>
      <c r="C330" s="14" t="str">
        <f>_xlfn.SWITCH(Table4[[#This Row],[Column1]],"int", 0, "Smallint", 0, "tinyint", 0, "Bit", 0, "varchar", "'A'", "nvarchar", "'A'", "char", "'A'", "numeric", 0,"decimal", 0, "date", "'01/01/2000'", "datetime", "'01/01/2000'", "")</f>
        <v/>
      </c>
      <c r="D330" s="9">
        <f>'Column Definition'!C336</f>
        <v>0</v>
      </c>
      <c r="E330" s="9" t="str">
        <f t="shared" ref="E330:E346" si="42">", "&amp;D330</f>
        <v>, 0</v>
      </c>
      <c r="F330" s="9" t="str">
        <f t="shared" ref="F330:F346" si="43">", s."&amp;D330</f>
        <v>, s.0</v>
      </c>
      <c r="G330" s="3" t="str">
        <f t="shared" si="41"/>
        <v>OR (s.0 &lt;&gt; t.0 OR ( t.0 Is Null AND s.0 Is Not Null) OR ( t.0 Is not Null AND s.0 Is  Null))</v>
      </c>
      <c r="H330" s="9" t="str">
        <f t="shared" ref="H330:H346" si="44">", t."&amp; D330  &amp; " = s." &amp; D330</f>
        <v>, t.0 = s.0</v>
      </c>
    </row>
    <row r="331" spans="2:8" x14ac:dyDescent="0.25">
      <c r="B331" s="9">
        <f>'Column Definition'!F337</f>
        <v>0</v>
      </c>
      <c r="C331" s="14" t="str">
        <f>_xlfn.SWITCH(Table4[[#This Row],[Column1]],"int", 0, "Smallint", 0, "tinyint", 0, "Bit", 0, "varchar", "'A'", "nvarchar", "'A'", "char", "'A'", "numeric", 0,"decimal", 0, "date", "'01/01/2000'", "datetime", "'01/01/2000'", "")</f>
        <v/>
      </c>
      <c r="D331" s="9">
        <f>'Column Definition'!C337</f>
        <v>0</v>
      </c>
      <c r="E331" s="9" t="str">
        <f t="shared" si="42"/>
        <v>, 0</v>
      </c>
      <c r="F331" s="9" t="str">
        <f t="shared" si="43"/>
        <v>, s.0</v>
      </c>
      <c r="G331" s="3" t="str">
        <f t="shared" si="41"/>
        <v>OR (s.0 &lt;&gt; t.0 OR ( t.0 Is Null AND s.0 Is Not Null) OR ( t.0 Is not Null AND s.0 Is  Null))</v>
      </c>
      <c r="H331" s="9" t="str">
        <f t="shared" si="44"/>
        <v>, t.0 = s.0</v>
      </c>
    </row>
    <row r="332" spans="2:8" x14ac:dyDescent="0.25">
      <c r="B332" s="9">
        <f>'Column Definition'!F338</f>
        <v>0</v>
      </c>
      <c r="C332" s="14" t="str">
        <f>_xlfn.SWITCH(Table4[[#This Row],[Column1]],"int", 0, "Smallint", 0, "tinyint", 0, "Bit", 0, "varchar", "'A'", "nvarchar", "'A'", "char", "'A'", "numeric", 0,"decimal", 0, "date", "'01/01/2000'", "datetime", "'01/01/2000'", "")</f>
        <v/>
      </c>
      <c r="D332" s="9">
        <f>'Column Definition'!C338</f>
        <v>0</v>
      </c>
      <c r="E332" s="9" t="str">
        <f t="shared" si="42"/>
        <v>, 0</v>
      </c>
      <c r="F332" s="9" t="str">
        <f t="shared" si="43"/>
        <v>, s.0</v>
      </c>
      <c r="G332" s="3" t="str">
        <f t="shared" si="41"/>
        <v>OR (s.0 &lt;&gt; t.0 OR ( t.0 Is Null AND s.0 Is Not Null) OR ( t.0 Is not Null AND s.0 Is  Null))</v>
      </c>
      <c r="H332" s="9" t="str">
        <f t="shared" si="44"/>
        <v>, t.0 = s.0</v>
      </c>
    </row>
    <row r="333" spans="2:8" x14ac:dyDescent="0.25">
      <c r="B333" s="9">
        <f>'Column Definition'!F339</f>
        <v>0</v>
      </c>
      <c r="C333" s="14" t="str">
        <f>_xlfn.SWITCH(Table4[[#This Row],[Column1]],"int", 0, "Smallint", 0, "tinyint", 0, "Bit", 0, "varchar", "'A'", "nvarchar", "'A'", "char", "'A'", "numeric", 0,"decimal", 0, "date", "'01/01/2000'", "datetime", "'01/01/2000'", "")</f>
        <v/>
      </c>
      <c r="D333" s="9">
        <f>'Column Definition'!C339</f>
        <v>0</v>
      </c>
      <c r="E333" s="9" t="str">
        <f t="shared" si="42"/>
        <v>, 0</v>
      </c>
      <c r="F333" s="9" t="str">
        <f t="shared" si="43"/>
        <v>, s.0</v>
      </c>
      <c r="G333" s="3" t="str">
        <f t="shared" si="41"/>
        <v>OR (s.0 &lt;&gt; t.0 OR ( t.0 Is Null AND s.0 Is Not Null) OR ( t.0 Is not Null AND s.0 Is  Null))</v>
      </c>
      <c r="H333" s="9" t="str">
        <f t="shared" si="44"/>
        <v>, t.0 = s.0</v>
      </c>
    </row>
    <row r="334" spans="2:8" x14ac:dyDescent="0.25">
      <c r="B334" s="9">
        <f>'Column Definition'!F340</f>
        <v>0</v>
      </c>
      <c r="C334" s="14" t="str">
        <f>_xlfn.SWITCH(Table4[[#This Row],[Column1]],"int", 0, "Smallint", 0, "tinyint", 0, "Bit", 0, "varchar", "'A'", "nvarchar", "'A'", "char", "'A'", "numeric", 0,"decimal", 0, "date", "'01/01/2000'", "datetime", "'01/01/2000'", "")</f>
        <v/>
      </c>
      <c r="D334" s="9">
        <f>'Column Definition'!C340</f>
        <v>0</v>
      </c>
      <c r="E334" s="9" t="str">
        <f t="shared" si="42"/>
        <v>, 0</v>
      </c>
      <c r="F334" s="9" t="str">
        <f t="shared" si="43"/>
        <v>, s.0</v>
      </c>
      <c r="G334" s="3" t="str">
        <f t="shared" si="41"/>
        <v>OR (s.0 &lt;&gt; t.0 OR ( t.0 Is Null AND s.0 Is Not Null) OR ( t.0 Is not Null AND s.0 Is  Null))</v>
      </c>
      <c r="H334" s="9" t="str">
        <f t="shared" si="44"/>
        <v>, t.0 = s.0</v>
      </c>
    </row>
    <row r="335" spans="2:8" x14ac:dyDescent="0.25">
      <c r="B335" s="9">
        <f>'Column Definition'!F341</f>
        <v>0</v>
      </c>
      <c r="C335" s="14" t="str">
        <f>_xlfn.SWITCH(Table4[[#This Row],[Column1]],"int", 0, "Smallint", 0, "tinyint", 0, "Bit", 0, "varchar", "'A'", "nvarchar", "'A'", "char", "'A'", "numeric", 0,"decimal", 0, "date", "'01/01/2000'", "datetime", "'01/01/2000'", "")</f>
        <v/>
      </c>
      <c r="D335" s="9">
        <f>'Column Definition'!C341</f>
        <v>0</v>
      </c>
      <c r="E335" s="9" t="str">
        <f t="shared" si="42"/>
        <v>, 0</v>
      </c>
      <c r="F335" s="9" t="str">
        <f t="shared" si="43"/>
        <v>, s.0</v>
      </c>
      <c r="G335" s="3" t="str">
        <f t="shared" si="41"/>
        <v>OR (s.0 &lt;&gt; t.0 OR ( t.0 Is Null AND s.0 Is Not Null) OR ( t.0 Is not Null AND s.0 Is  Null))</v>
      </c>
      <c r="H335" s="9" t="str">
        <f t="shared" si="44"/>
        <v>, t.0 = s.0</v>
      </c>
    </row>
    <row r="336" spans="2:8" x14ac:dyDescent="0.25">
      <c r="B336" s="9">
        <f>'Column Definition'!F342</f>
        <v>0</v>
      </c>
      <c r="C336" s="14" t="str">
        <f>_xlfn.SWITCH(Table4[[#This Row],[Column1]],"int", 0, "Smallint", 0, "tinyint", 0, "Bit", 0, "varchar", "'A'", "nvarchar", "'A'", "char", "'A'", "numeric", 0,"decimal", 0, "date", "'01/01/2000'", "datetime", "'01/01/2000'", "")</f>
        <v/>
      </c>
      <c r="D336" s="9">
        <f>'Column Definition'!C342</f>
        <v>0</v>
      </c>
      <c r="E336" s="9" t="str">
        <f t="shared" si="42"/>
        <v>, 0</v>
      </c>
      <c r="F336" s="9" t="str">
        <f t="shared" si="43"/>
        <v>, s.0</v>
      </c>
      <c r="G336" s="3" t="str">
        <f t="shared" si="41"/>
        <v>OR (s.0 &lt;&gt; t.0 OR ( t.0 Is Null AND s.0 Is Not Null) OR ( t.0 Is not Null AND s.0 Is  Null))</v>
      </c>
      <c r="H336" s="9" t="str">
        <f t="shared" si="44"/>
        <v>, t.0 = s.0</v>
      </c>
    </row>
    <row r="337" spans="2:8" x14ac:dyDescent="0.25">
      <c r="B337" s="9">
        <f>'Column Definition'!F343</f>
        <v>0</v>
      </c>
      <c r="C337" s="14" t="str">
        <f>_xlfn.SWITCH(Table4[[#This Row],[Column1]],"int", 0, "Smallint", 0, "tinyint", 0, "Bit", 0, "varchar", "'A'", "nvarchar", "'A'", "char", "'A'", "numeric", 0,"decimal", 0, "date", "'01/01/2000'", "datetime", "'01/01/2000'", "")</f>
        <v/>
      </c>
      <c r="D337" s="9">
        <f>'Column Definition'!C343</f>
        <v>0</v>
      </c>
      <c r="E337" s="9" t="str">
        <f t="shared" si="42"/>
        <v>, 0</v>
      </c>
      <c r="F337" s="9" t="str">
        <f t="shared" si="43"/>
        <v>, s.0</v>
      </c>
      <c r="G337" s="3" t="str">
        <f t="shared" si="41"/>
        <v>OR (s.0 &lt;&gt; t.0 OR ( t.0 Is Null AND s.0 Is Not Null) OR ( t.0 Is not Null AND s.0 Is  Null))</v>
      </c>
      <c r="H337" s="9" t="str">
        <f t="shared" si="44"/>
        <v>, t.0 = s.0</v>
      </c>
    </row>
    <row r="338" spans="2:8" x14ac:dyDescent="0.25">
      <c r="B338" s="9">
        <f>'Column Definition'!F344</f>
        <v>0</v>
      </c>
      <c r="C338" s="14" t="str">
        <f>_xlfn.SWITCH(Table4[[#This Row],[Column1]],"int", 0, "Smallint", 0, "tinyint", 0, "Bit", 0, "varchar", "'A'", "nvarchar", "'A'", "char", "'A'", "numeric", 0,"decimal", 0, "date", "'01/01/2000'", "datetime", "'01/01/2000'", "")</f>
        <v/>
      </c>
      <c r="D338" s="9">
        <f>'Column Definition'!C344</f>
        <v>0</v>
      </c>
      <c r="E338" s="9" t="str">
        <f t="shared" si="42"/>
        <v>, 0</v>
      </c>
      <c r="F338" s="9" t="str">
        <f t="shared" si="43"/>
        <v>, s.0</v>
      </c>
      <c r="G338" s="3" t="str">
        <f t="shared" si="41"/>
        <v>OR (s.0 &lt;&gt; t.0 OR ( t.0 Is Null AND s.0 Is Not Null) OR ( t.0 Is not Null AND s.0 Is  Null))</v>
      </c>
      <c r="H338" s="9" t="str">
        <f t="shared" si="44"/>
        <v>, t.0 = s.0</v>
      </c>
    </row>
    <row r="339" spans="2:8" x14ac:dyDescent="0.25">
      <c r="B339" s="9">
        <f>'Column Definition'!F345</f>
        <v>0</v>
      </c>
      <c r="C339" s="14" t="str">
        <f>_xlfn.SWITCH(Table4[[#This Row],[Column1]],"int", 0, "Smallint", 0, "tinyint", 0, "Bit", 0, "varchar", "'A'", "nvarchar", "'A'", "char", "'A'", "numeric", 0,"decimal", 0, "date", "'01/01/2000'", "datetime", "'01/01/2000'", "")</f>
        <v/>
      </c>
      <c r="D339" s="9">
        <f>'Column Definition'!C345</f>
        <v>0</v>
      </c>
      <c r="E339" s="9" t="str">
        <f t="shared" si="42"/>
        <v>, 0</v>
      </c>
      <c r="F339" s="9" t="str">
        <f t="shared" si="43"/>
        <v>, s.0</v>
      </c>
      <c r="G339" s="3" t="str">
        <f t="shared" si="41"/>
        <v>OR (s.0 &lt;&gt; t.0 OR ( t.0 Is Null AND s.0 Is Not Null) OR ( t.0 Is not Null AND s.0 Is  Null))</v>
      </c>
      <c r="H339" s="9" t="str">
        <f t="shared" si="44"/>
        <v>, t.0 = s.0</v>
      </c>
    </row>
    <row r="340" spans="2:8" x14ac:dyDescent="0.25">
      <c r="B340" s="9">
        <f>'Column Definition'!F346</f>
        <v>0</v>
      </c>
      <c r="C340" s="14" t="str">
        <f>_xlfn.SWITCH(Table4[[#This Row],[Column1]],"int", 0, "Smallint", 0, "tinyint", 0, "Bit", 0, "varchar", "'A'", "nvarchar", "'A'", "char", "'A'", "numeric", 0,"decimal", 0, "date", "'01/01/2000'", "datetime", "'01/01/2000'", "")</f>
        <v/>
      </c>
      <c r="D340" s="9">
        <f>'Column Definition'!C346</f>
        <v>0</v>
      </c>
      <c r="E340" s="9" t="str">
        <f t="shared" si="42"/>
        <v>, 0</v>
      </c>
      <c r="F340" s="9" t="str">
        <f t="shared" si="43"/>
        <v>, s.0</v>
      </c>
      <c r="G340" s="3" t="str">
        <f t="shared" si="41"/>
        <v>OR (s.0 &lt;&gt; t.0 OR ( t.0 Is Null AND s.0 Is Not Null) OR ( t.0 Is not Null AND s.0 Is  Null))</v>
      </c>
      <c r="H340" s="9" t="str">
        <f t="shared" si="44"/>
        <v>, t.0 = s.0</v>
      </c>
    </row>
    <row r="341" spans="2:8" x14ac:dyDescent="0.25">
      <c r="B341" s="9">
        <f>'Column Definition'!F347</f>
        <v>0</v>
      </c>
      <c r="C341" s="14" t="str">
        <f>_xlfn.SWITCH(Table4[[#This Row],[Column1]],"int", 0, "Smallint", 0, "tinyint", 0, "Bit", 0, "varchar", "'A'", "nvarchar", "'A'", "char", "'A'", "numeric", 0,"decimal", 0, "date", "'01/01/2000'", "datetime", "'01/01/2000'", "")</f>
        <v/>
      </c>
      <c r="D341" s="9">
        <f>'Column Definition'!C347</f>
        <v>0</v>
      </c>
      <c r="E341" s="9" t="str">
        <f t="shared" si="42"/>
        <v>, 0</v>
      </c>
      <c r="F341" s="9" t="str">
        <f t="shared" si="43"/>
        <v>, s.0</v>
      </c>
      <c r="G341" s="3" t="str">
        <f t="shared" si="41"/>
        <v>OR (s.0 &lt;&gt; t.0 OR ( t.0 Is Null AND s.0 Is Not Null) OR ( t.0 Is not Null AND s.0 Is  Null))</v>
      </c>
      <c r="H341" s="9" t="str">
        <f t="shared" si="44"/>
        <v>, t.0 = s.0</v>
      </c>
    </row>
    <row r="342" spans="2:8" x14ac:dyDescent="0.25">
      <c r="B342" s="9">
        <f>'Column Definition'!F348</f>
        <v>0</v>
      </c>
      <c r="C342" s="14" t="str">
        <f>_xlfn.SWITCH(Table4[[#This Row],[Column1]],"int", 0, "Smallint", 0, "tinyint", 0, "Bit", 0, "varchar", "'A'", "nvarchar", "'A'", "char", "'A'", "numeric", 0,"decimal", 0, "date", "'01/01/2000'", "datetime", "'01/01/2000'", "")</f>
        <v/>
      </c>
      <c r="D342" s="9">
        <f>'Column Definition'!C348</f>
        <v>0</v>
      </c>
      <c r="E342" s="9" t="str">
        <f t="shared" si="42"/>
        <v>, 0</v>
      </c>
      <c r="F342" s="9" t="str">
        <f t="shared" si="43"/>
        <v>, s.0</v>
      </c>
      <c r="G342" s="3" t="str">
        <f t="shared" si="41"/>
        <v>OR (s.0 &lt;&gt; t.0 OR ( t.0 Is Null AND s.0 Is Not Null) OR ( t.0 Is not Null AND s.0 Is  Null))</v>
      </c>
      <c r="H342" s="9" t="str">
        <f t="shared" si="44"/>
        <v>, t.0 = s.0</v>
      </c>
    </row>
    <row r="343" spans="2:8" x14ac:dyDescent="0.25">
      <c r="B343" s="9">
        <f>'Column Definition'!F349</f>
        <v>0</v>
      </c>
      <c r="C343" s="14" t="str">
        <f>_xlfn.SWITCH(Table4[[#This Row],[Column1]],"int", 0, "Smallint", 0, "tinyint", 0, "Bit", 0, "varchar", "'A'", "nvarchar", "'A'", "char", "'A'", "numeric", 0,"decimal", 0, "date", "'01/01/2000'", "datetime", "'01/01/2000'", "")</f>
        <v/>
      </c>
      <c r="D343" s="9">
        <f>'Column Definition'!C349</f>
        <v>0</v>
      </c>
      <c r="E343" s="9" t="str">
        <f t="shared" si="42"/>
        <v>, 0</v>
      </c>
      <c r="F343" s="9" t="str">
        <f t="shared" si="43"/>
        <v>, s.0</v>
      </c>
      <c r="G343" s="3" t="str">
        <f t="shared" si="41"/>
        <v>OR (s.0 &lt;&gt; t.0 OR ( t.0 Is Null AND s.0 Is Not Null) OR ( t.0 Is not Null AND s.0 Is  Null))</v>
      </c>
      <c r="H343" s="9" t="str">
        <f t="shared" si="44"/>
        <v>, t.0 = s.0</v>
      </c>
    </row>
    <row r="344" spans="2:8" x14ac:dyDescent="0.25">
      <c r="B344" s="9">
        <f>'Column Definition'!F350</f>
        <v>0</v>
      </c>
      <c r="C344" s="14" t="str">
        <f>_xlfn.SWITCH(Table4[[#This Row],[Column1]],"int", 0, "Smallint", 0, "tinyint", 0, "Bit", 0, "varchar", "'A'", "nvarchar", "'A'", "char", "'A'", "numeric", 0,"decimal", 0, "date", "'01/01/2000'", "datetime", "'01/01/2000'", "")</f>
        <v/>
      </c>
      <c r="D344" s="9">
        <f>'Column Definition'!C350</f>
        <v>0</v>
      </c>
      <c r="E344" s="9" t="str">
        <f t="shared" si="42"/>
        <v>, 0</v>
      </c>
      <c r="F344" s="9" t="str">
        <f t="shared" si="43"/>
        <v>, s.0</v>
      </c>
      <c r="G344" s="3" t="str">
        <f t="shared" si="41"/>
        <v>OR (s.0 &lt;&gt; t.0 OR ( t.0 Is Null AND s.0 Is Not Null) OR ( t.0 Is not Null AND s.0 Is  Null))</v>
      </c>
      <c r="H344" s="9" t="str">
        <f t="shared" si="44"/>
        <v>, t.0 = s.0</v>
      </c>
    </row>
    <row r="345" spans="2:8" x14ac:dyDescent="0.25">
      <c r="B345" s="9">
        <f>'Column Definition'!F351</f>
        <v>0</v>
      </c>
      <c r="C345" s="14" t="str">
        <f>_xlfn.SWITCH(Table4[[#This Row],[Column1]],"int", 0, "Smallint", 0, "tinyint", 0, "Bit", 0, "varchar", "'A'", "nvarchar", "'A'", "char", "'A'", "numeric", 0,"decimal", 0, "date", "'01/01/2000'", "datetime", "'01/01/2000'", "")</f>
        <v/>
      </c>
      <c r="D345" s="9">
        <f>'Column Definition'!C351</f>
        <v>0</v>
      </c>
      <c r="E345" s="9" t="str">
        <f t="shared" si="42"/>
        <v>, 0</v>
      </c>
      <c r="F345" s="9" t="str">
        <f t="shared" si="43"/>
        <v>, s.0</v>
      </c>
      <c r="G345" s="3" t="str">
        <f t="shared" si="41"/>
        <v>OR (s.0 &lt;&gt; t.0 OR ( t.0 Is Null AND s.0 Is Not Null) OR ( t.0 Is not Null AND s.0 Is  Null))</v>
      </c>
      <c r="H345" s="9" t="str">
        <f t="shared" si="44"/>
        <v>, t.0 = s.0</v>
      </c>
    </row>
    <row r="346" spans="2:8" x14ac:dyDescent="0.25">
      <c r="B346" s="9">
        <f>'Column Definition'!F352</f>
        <v>0</v>
      </c>
      <c r="C346" s="14" t="str">
        <f>_xlfn.SWITCH(Table4[[#This Row],[Column1]],"int", 0, "Smallint", 0, "tinyint", 0, "Bit", 0, "varchar", "'A'", "nvarchar", "'A'", "char", "'A'", "numeric", 0,"decimal", 0, "date", "'01/01/2000'", "datetime", "'01/01/2000'", "")</f>
        <v/>
      </c>
      <c r="D346" s="9">
        <f>'Column Definition'!C352</f>
        <v>0</v>
      </c>
      <c r="E346" s="9" t="str">
        <f t="shared" si="42"/>
        <v>, 0</v>
      </c>
      <c r="F346" s="9" t="str">
        <f t="shared" si="43"/>
        <v>, s.0</v>
      </c>
      <c r="G346" s="3" t="str">
        <f t="shared" si="41"/>
        <v>OR (s.0 &lt;&gt; t.0 OR ( t.0 Is Null AND s.0 Is Not Null) OR ( t.0 Is not Null AND s.0 Is  Null))</v>
      </c>
      <c r="H346" s="9" t="str">
        <f t="shared" si="44"/>
        <v>, t.0 = s.0</v>
      </c>
    </row>
    <row r="347" spans="2:8" x14ac:dyDescent="0.25">
      <c r="B347" s="9">
        <f>'Column Definition'!F353</f>
        <v>0</v>
      </c>
      <c r="C347" s="14" t="str">
        <f>_xlfn.SWITCH(Table4[[#This Row],[Column1]],"int", 0, "Smallint", 0, "tinyint", 0, "Bit", 0, "varchar", "'A'", "nvarchar", "'A'", "char", "'A'", "numeric", 0,"decimal", 0, "date", "'01/01/2000'", "datetime", "'01/01/2000'", "")</f>
        <v/>
      </c>
      <c r="D347" s="9">
        <f>'Column Definition'!C353</f>
        <v>0</v>
      </c>
      <c r="E347" s="9" t="str">
        <f t="shared" ref="E347:E368" si="45">", "&amp;D347</f>
        <v>, 0</v>
      </c>
      <c r="F347" s="9" t="str">
        <f t="shared" ref="F347:F368" si="46">", s."&amp;D347</f>
        <v>, s.0</v>
      </c>
      <c r="G347" s="3" t="str">
        <f t="shared" si="41"/>
        <v>OR (s.0 &lt;&gt; t.0 OR ( t.0 Is Null AND s.0 Is Not Null) OR ( t.0 Is not Null AND s.0 Is  Null))</v>
      </c>
      <c r="H347" s="9" t="str">
        <f t="shared" ref="H347:H368" si="47">", t."&amp; D347  &amp; " = s." &amp; D347</f>
        <v>, t.0 = s.0</v>
      </c>
    </row>
    <row r="348" spans="2:8" x14ac:dyDescent="0.25">
      <c r="B348" s="9">
        <f>'Column Definition'!F354</f>
        <v>0</v>
      </c>
      <c r="C348" s="14" t="str">
        <f>_xlfn.SWITCH(Table4[[#This Row],[Column1]],"int", 0, "Smallint", 0, "tinyint", 0, "Bit", 0, "varchar", "'A'", "nvarchar", "'A'", "char", "'A'", "numeric", 0,"decimal", 0, "date", "'01/01/2000'", "datetime", "'01/01/2000'", "")</f>
        <v/>
      </c>
      <c r="D348" s="9">
        <f>'Column Definition'!C354</f>
        <v>0</v>
      </c>
      <c r="E348" s="9" t="str">
        <f t="shared" si="45"/>
        <v>, 0</v>
      </c>
      <c r="F348" s="9" t="str">
        <f t="shared" si="46"/>
        <v>, s.0</v>
      </c>
      <c r="G348" s="3" t="str">
        <f t="shared" si="41"/>
        <v>OR (s.0 &lt;&gt; t.0 OR ( t.0 Is Null AND s.0 Is Not Null) OR ( t.0 Is not Null AND s.0 Is  Null))</v>
      </c>
      <c r="H348" s="9" t="str">
        <f t="shared" si="47"/>
        <v>, t.0 = s.0</v>
      </c>
    </row>
    <row r="349" spans="2:8" x14ac:dyDescent="0.25">
      <c r="B349" s="9">
        <f>'Column Definition'!F355</f>
        <v>0</v>
      </c>
      <c r="C349" s="14" t="str">
        <f>_xlfn.SWITCH(Table4[[#This Row],[Column1]],"int", 0, "Smallint", 0, "tinyint", 0, "Bit", 0, "varchar", "'A'", "nvarchar", "'A'", "char", "'A'", "numeric", 0,"decimal", 0, "date", "'01/01/2000'", "datetime", "'01/01/2000'", "")</f>
        <v/>
      </c>
      <c r="D349" s="9">
        <f>'Column Definition'!C355</f>
        <v>0</v>
      </c>
      <c r="E349" s="9" t="str">
        <f t="shared" si="45"/>
        <v>, 0</v>
      </c>
      <c r="F349" s="9" t="str">
        <f t="shared" si="46"/>
        <v>, s.0</v>
      </c>
      <c r="G349" s="3" t="str">
        <f t="shared" si="41"/>
        <v>OR (s.0 &lt;&gt; t.0 OR ( t.0 Is Null AND s.0 Is Not Null) OR ( t.0 Is not Null AND s.0 Is  Null))</v>
      </c>
      <c r="H349" s="9" t="str">
        <f t="shared" si="47"/>
        <v>, t.0 = s.0</v>
      </c>
    </row>
    <row r="350" spans="2:8" x14ac:dyDescent="0.25">
      <c r="B350" s="9">
        <f>'Column Definition'!F356</f>
        <v>0</v>
      </c>
      <c r="C350" s="14" t="str">
        <f>_xlfn.SWITCH(Table4[[#This Row],[Column1]],"int", 0, "Smallint", 0, "tinyint", 0, "Bit", 0, "varchar", "'A'", "nvarchar", "'A'", "char", "'A'", "numeric", 0,"decimal", 0, "date", "'01/01/2000'", "datetime", "'01/01/2000'", "")</f>
        <v/>
      </c>
      <c r="D350" s="9">
        <f>'Column Definition'!C356</f>
        <v>0</v>
      </c>
      <c r="E350" s="9" t="str">
        <f t="shared" si="45"/>
        <v>, 0</v>
      </c>
      <c r="F350" s="9" t="str">
        <f t="shared" si="46"/>
        <v>, s.0</v>
      </c>
      <c r="G350" s="3" t="str">
        <f t="shared" si="41"/>
        <v>OR (s.0 &lt;&gt; t.0 OR ( t.0 Is Null AND s.0 Is Not Null) OR ( t.0 Is not Null AND s.0 Is  Null))</v>
      </c>
      <c r="H350" s="9" t="str">
        <f t="shared" si="47"/>
        <v>, t.0 = s.0</v>
      </c>
    </row>
    <row r="351" spans="2:8" x14ac:dyDescent="0.25">
      <c r="B351" s="9">
        <f>'Column Definition'!F357</f>
        <v>0</v>
      </c>
      <c r="C351" s="14" t="str">
        <f>_xlfn.SWITCH(Table4[[#This Row],[Column1]],"int", 0, "Smallint", 0, "tinyint", 0, "Bit", 0, "varchar", "'A'", "nvarchar", "'A'", "char", "'A'", "numeric", 0,"decimal", 0, "date", "'01/01/2000'", "datetime", "'01/01/2000'", "")</f>
        <v/>
      </c>
      <c r="D351" s="9">
        <f>'Column Definition'!C357</f>
        <v>0</v>
      </c>
      <c r="E351" s="9" t="str">
        <f t="shared" si="45"/>
        <v>, 0</v>
      </c>
      <c r="F351" s="9" t="str">
        <f t="shared" si="46"/>
        <v>, s.0</v>
      </c>
      <c r="G351" s="3" t="str">
        <f t="shared" si="41"/>
        <v>OR (s.0 &lt;&gt; t.0 OR ( t.0 Is Null AND s.0 Is Not Null) OR ( t.0 Is not Null AND s.0 Is  Null))</v>
      </c>
      <c r="H351" s="9" t="str">
        <f t="shared" si="47"/>
        <v>, t.0 = s.0</v>
      </c>
    </row>
    <row r="352" spans="2:8" x14ac:dyDescent="0.25">
      <c r="B352" s="9">
        <f>'Column Definition'!F358</f>
        <v>0</v>
      </c>
      <c r="C352" s="14" t="str">
        <f>_xlfn.SWITCH(Table4[[#This Row],[Column1]],"int", 0, "Smallint", 0, "tinyint", 0, "Bit", 0, "varchar", "'A'", "nvarchar", "'A'", "char", "'A'", "numeric", 0,"decimal", 0, "date", "'01/01/2000'", "datetime", "'01/01/2000'", "")</f>
        <v/>
      </c>
      <c r="D352" s="9">
        <f>'Column Definition'!C358</f>
        <v>0</v>
      </c>
      <c r="E352" s="9" t="str">
        <f t="shared" si="45"/>
        <v>, 0</v>
      </c>
      <c r="F352" s="9" t="str">
        <f t="shared" si="46"/>
        <v>, s.0</v>
      </c>
      <c r="G352" s="3" t="str">
        <f t="shared" si="41"/>
        <v>OR (s.0 &lt;&gt; t.0 OR ( t.0 Is Null AND s.0 Is Not Null) OR ( t.0 Is not Null AND s.0 Is  Null))</v>
      </c>
      <c r="H352" s="9" t="str">
        <f t="shared" si="47"/>
        <v>, t.0 = s.0</v>
      </c>
    </row>
    <row r="353" spans="2:8" x14ac:dyDescent="0.25">
      <c r="B353" s="9">
        <f>'Column Definition'!F359</f>
        <v>0</v>
      </c>
      <c r="C353" s="14" t="str">
        <f>_xlfn.SWITCH(Table4[[#This Row],[Column1]],"int", 0, "Smallint", 0, "tinyint", 0, "Bit", 0, "varchar", "'A'", "nvarchar", "'A'", "char", "'A'", "numeric", 0,"decimal", 0, "date", "'01/01/2000'", "datetime", "'01/01/2000'", "")</f>
        <v/>
      </c>
      <c r="D353" s="9">
        <f>'Column Definition'!C359</f>
        <v>0</v>
      </c>
      <c r="E353" s="9" t="str">
        <f t="shared" si="45"/>
        <v>, 0</v>
      </c>
      <c r="F353" s="9" t="str">
        <f t="shared" si="46"/>
        <v>, s.0</v>
      </c>
      <c r="G353" s="3" t="str">
        <f t="shared" si="41"/>
        <v>OR (s.0 &lt;&gt; t.0 OR ( t.0 Is Null AND s.0 Is Not Null) OR ( t.0 Is not Null AND s.0 Is  Null))</v>
      </c>
      <c r="H353" s="9" t="str">
        <f t="shared" si="47"/>
        <v>, t.0 = s.0</v>
      </c>
    </row>
    <row r="354" spans="2:8" x14ac:dyDescent="0.25">
      <c r="B354" s="9">
        <f>'Column Definition'!F360</f>
        <v>0</v>
      </c>
      <c r="C354" s="14" t="str">
        <f>_xlfn.SWITCH(Table4[[#This Row],[Column1]],"int", 0, "Smallint", 0, "tinyint", 0, "Bit", 0, "varchar", "'A'", "nvarchar", "'A'", "char", "'A'", "numeric", 0,"decimal", 0, "date", "'01/01/2000'", "datetime", "'01/01/2000'", "")</f>
        <v/>
      </c>
      <c r="D354" s="9">
        <f>'Column Definition'!C360</f>
        <v>0</v>
      </c>
      <c r="E354" s="9" t="str">
        <f t="shared" si="45"/>
        <v>, 0</v>
      </c>
      <c r="F354" s="9" t="str">
        <f t="shared" si="46"/>
        <v>, s.0</v>
      </c>
      <c r="G354" s="3" t="str">
        <f t="shared" si="41"/>
        <v>OR (s.0 &lt;&gt; t.0 OR ( t.0 Is Null AND s.0 Is Not Null) OR ( t.0 Is not Null AND s.0 Is  Null))</v>
      </c>
      <c r="H354" s="9" t="str">
        <f t="shared" si="47"/>
        <v>, t.0 = s.0</v>
      </c>
    </row>
    <row r="355" spans="2:8" x14ac:dyDescent="0.25">
      <c r="B355" s="9">
        <f>'Column Definition'!F361</f>
        <v>0</v>
      </c>
      <c r="C355" s="14" t="str">
        <f>_xlfn.SWITCH(Table4[[#This Row],[Column1]],"int", 0, "Smallint", 0, "tinyint", 0, "Bit", 0, "varchar", "'A'", "nvarchar", "'A'", "char", "'A'", "numeric", 0,"decimal", 0, "date", "'01/01/2000'", "datetime", "'01/01/2000'", "")</f>
        <v/>
      </c>
      <c r="D355" s="9">
        <f>'Column Definition'!C361</f>
        <v>0</v>
      </c>
      <c r="E355" s="9" t="str">
        <f t="shared" si="45"/>
        <v>, 0</v>
      </c>
      <c r="F355" s="9" t="str">
        <f t="shared" si="46"/>
        <v>, s.0</v>
      </c>
      <c r="G355" s="3" t="str">
        <f t="shared" si="41"/>
        <v>OR (s.0 &lt;&gt; t.0 OR ( t.0 Is Null AND s.0 Is Not Null) OR ( t.0 Is not Null AND s.0 Is  Null))</v>
      </c>
      <c r="H355" s="9" t="str">
        <f t="shared" si="47"/>
        <v>, t.0 = s.0</v>
      </c>
    </row>
    <row r="356" spans="2:8" x14ac:dyDescent="0.25">
      <c r="B356" s="9">
        <f>'Column Definition'!F362</f>
        <v>0</v>
      </c>
      <c r="C356" s="14" t="str">
        <f>_xlfn.SWITCH(Table4[[#This Row],[Column1]],"int", 0, "Smallint", 0, "tinyint", 0, "Bit", 0, "varchar", "'A'", "nvarchar", "'A'", "char", "'A'", "numeric", 0,"decimal", 0, "date", "'01/01/2000'", "datetime", "'01/01/2000'", "")</f>
        <v/>
      </c>
      <c r="D356" s="9">
        <f>'Column Definition'!C362</f>
        <v>0</v>
      </c>
      <c r="E356" s="9" t="str">
        <f t="shared" si="45"/>
        <v>, 0</v>
      </c>
      <c r="F356" s="9" t="str">
        <f t="shared" si="46"/>
        <v>, s.0</v>
      </c>
      <c r="G356" s="3" t="str">
        <f t="shared" si="41"/>
        <v>OR (s.0 &lt;&gt; t.0 OR ( t.0 Is Null AND s.0 Is Not Null) OR ( t.0 Is not Null AND s.0 Is  Null))</v>
      </c>
      <c r="H356" s="9" t="str">
        <f t="shared" si="47"/>
        <v>, t.0 = s.0</v>
      </c>
    </row>
    <row r="357" spans="2:8" x14ac:dyDescent="0.25">
      <c r="B357" s="9">
        <f>'Column Definition'!F363</f>
        <v>0</v>
      </c>
      <c r="C357" s="14" t="str">
        <f>_xlfn.SWITCH(Table4[[#This Row],[Column1]],"int", 0, "Smallint", 0, "tinyint", 0, "Bit", 0, "varchar", "'A'", "nvarchar", "'A'", "char", "'A'", "numeric", 0,"decimal", 0, "date", "'01/01/2000'", "datetime", "'01/01/2000'", "")</f>
        <v/>
      </c>
      <c r="D357" s="9">
        <f>'Column Definition'!C363</f>
        <v>0</v>
      </c>
      <c r="E357" s="9" t="str">
        <f t="shared" si="45"/>
        <v>, 0</v>
      </c>
      <c r="F357" s="9" t="str">
        <f t="shared" si="46"/>
        <v>, s.0</v>
      </c>
      <c r="G357" s="3" t="str">
        <f t="shared" si="41"/>
        <v>OR (s.0 &lt;&gt; t.0 OR ( t.0 Is Null AND s.0 Is Not Null) OR ( t.0 Is not Null AND s.0 Is  Null))</v>
      </c>
      <c r="H357" s="9" t="str">
        <f t="shared" si="47"/>
        <v>, t.0 = s.0</v>
      </c>
    </row>
    <row r="358" spans="2:8" x14ac:dyDescent="0.25">
      <c r="B358" s="9">
        <f>'Column Definition'!F364</f>
        <v>0</v>
      </c>
      <c r="C358" s="14" t="str">
        <f>_xlfn.SWITCH(Table4[[#This Row],[Column1]],"int", 0, "Smallint", 0, "tinyint", 0, "Bit", 0, "varchar", "'A'", "nvarchar", "'A'", "char", "'A'", "numeric", 0,"decimal", 0, "date", "'01/01/2000'", "datetime", "'01/01/2000'", "")</f>
        <v/>
      </c>
      <c r="D358" s="9">
        <f>'Column Definition'!C364</f>
        <v>0</v>
      </c>
      <c r="E358" s="9" t="str">
        <f t="shared" si="45"/>
        <v>, 0</v>
      </c>
      <c r="F358" s="9" t="str">
        <f t="shared" si="46"/>
        <v>, s.0</v>
      </c>
      <c r="G358" s="3" t="str">
        <f t="shared" si="41"/>
        <v>OR (s.0 &lt;&gt; t.0 OR ( t.0 Is Null AND s.0 Is Not Null) OR ( t.0 Is not Null AND s.0 Is  Null))</v>
      </c>
      <c r="H358" s="9" t="str">
        <f t="shared" si="47"/>
        <v>, t.0 = s.0</v>
      </c>
    </row>
    <row r="359" spans="2:8" x14ac:dyDescent="0.25">
      <c r="B359" s="9">
        <f>'Column Definition'!F365</f>
        <v>0</v>
      </c>
      <c r="C359" s="14" t="str">
        <f>_xlfn.SWITCH(Table4[[#This Row],[Column1]],"int", 0, "Smallint", 0, "tinyint", 0, "Bit", 0, "varchar", "'A'", "nvarchar", "'A'", "char", "'A'", "numeric", 0,"decimal", 0, "date", "'01/01/2000'", "datetime", "'01/01/2000'", "")</f>
        <v/>
      </c>
      <c r="D359" s="9">
        <f>'Column Definition'!C365</f>
        <v>0</v>
      </c>
      <c r="E359" s="9" t="str">
        <f t="shared" si="45"/>
        <v>, 0</v>
      </c>
      <c r="F359" s="9" t="str">
        <f t="shared" si="46"/>
        <v>, s.0</v>
      </c>
      <c r="G359" s="3" t="str">
        <f t="shared" si="41"/>
        <v>OR (s.0 &lt;&gt; t.0 OR ( t.0 Is Null AND s.0 Is Not Null) OR ( t.0 Is not Null AND s.0 Is  Null))</v>
      </c>
      <c r="H359" s="9" t="str">
        <f t="shared" si="47"/>
        <v>, t.0 = s.0</v>
      </c>
    </row>
    <row r="360" spans="2:8" x14ac:dyDescent="0.25">
      <c r="B360" s="9">
        <f>'Column Definition'!F366</f>
        <v>0</v>
      </c>
      <c r="C360" s="14" t="str">
        <f>_xlfn.SWITCH(Table4[[#This Row],[Column1]],"int", 0, "Smallint", 0, "tinyint", 0, "Bit", 0, "varchar", "'A'", "nvarchar", "'A'", "char", "'A'", "numeric", 0,"decimal", 0, "date", "'01/01/2000'", "datetime", "'01/01/2000'", "")</f>
        <v/>
      </c>
      <c r="D360" s="9">
        <f>'Column Definition'!C366</f>
        <v>0</v>
      </c>
      <c r="E360" s="9" t="str">
        <f t="shared" si="45"/>
        <v>, 0</v>
      </c>
      <c r="F360" s="9" t="str">
        <f t="shared" si="46"/>
        <v>, s.0</v>
      </c>
      <c r="G360" s="3" t="str">
        <f t="shared" si="41"/>
        <v>OR (s.0 &lt;&gt; t.0 OR ( t.0 Is Null AND s.0 Is Not Null) OR ( t.0 Is not Null AND s.0 Is  Null))</v>
      </c>
      <c r="H360" s="9" t="str">
        <f t="shared" si="47"/>
        <v>, t.0 = s.0</v>
      </c>
    </row>
    <row r="361" spans="2:8" x14ac:dyDescent="0.25">
      <c r="B361" s="9">
        <f>'Column Definition'!F367</f>
        <v>0</v>
      </c>
      <c r="C361" s="14" t="str">
        <f>_xlfn.SWITCH(Table4[[#This Row],[Column1]],"int", 0, "Smallint", 0, "tinyint", 0, "Bit", 0, "varchar", "'A'", "nvarchar", "'A'", "char", "'A'", "numeric", 0,"decimal", 0, "date", "'01/01/2000'", "datetime", "'01/01/2000'", "")</f>
        <v/>
      </c>
      <c r="D361" s="9">
        <f>'Column Definition'!C367</f>
        <v>0</v>
      </c>
      <c r="E361" s="9" t="str">
        <f t="shared" si="45"/>
        <v>, 0</v>
      </c>
      <c r="F361" s="9" t="str">
        <f t="shared" si="46"/>
        <v>, s.0</v>
      </c>
      <c r="G361" s="3" t="str">
        <f t="shared" si="41"/>
        <v>OR (s.0 &lt;&gt; t.0 OR ( t.0 Is Null AND s.0 Is Not Null) OR ( t.0 Is not Null AND s.0 Is  Null))</v>
      </c>
      <c r="H361" s="9" t="str">
        <f t="shared" si="47"/>
        <v>, t.0 = s.0</v>
      </c>
    </row>
    <row r="362" spans="2:8" x14ac:dyDescent="0.25">
      <c r="B362" s="9">
        <f>'Column Definition'!F368</f>
        <v>0</v>
      </c>
      <c r="C362" s="14" t="str">
        <f>_xlfn.SWITCH(Table4[[#This Row],[Column1]],"int", 0, "Smallint", 0, "tinyint", 0, "Bit", 0, "varchar", "'A'", "nvarchar", "'A'", "char", "'A'", "numeric", 0,"decimal", 0, "date", "'01/01/2000'", "datetime", "'01/01/2000'", "")</f>
        <v/>
      </c>
      <c r="D362" s="9">
        <f>'Column Definition'!C368</f>
        <v>0</v>
      </c>
      <c r="E362" s="9" t="str">
        <f t="shared" si="45"/>
        <v>, 0</v>
      </c>
      <c r="F362" s="9" t="str">
        <f t="shared" si="46"/>
        <v>, s.0</v>
      </c>
      <c r="G362" s="3" t="str">
        <f t="shared" si="41"/>
        <v>OR (s.0 &lt;&gt; t.0 OR ( t.0 Is Null AND s.0 Is Not Null) OR ( t.0 Is not Null AND s.0 Is  Null))</v>
      </c>
      <c r="H362" s="9" t="str">
        <f t="shared" si="47"/>
        <v>, t.0 = s.0</v>
      </c>
    </row>
    <row r="363" spans="2:8" x14ac:dyDescent="0.25">
      <c r="B363" s="9">
        <f>'Column Definition'!F369</f>
        <v>0</v>
      </c>
      <c r="C363" s="14" t="str">
        <f>_xlfn.SWITCH(Table4[[#This Row],[Column1]],"int", 0, "Smallint", 0, "tinyint", 0, "Bit", 0, "varchar", "'A'", "nvarchar", "'A'", "char", "'A'", "numeric", 0,"decimal", 0, "date", "'01/01/2000'", "datetime", "'01/01/2000'", "")</f>
        <v/>
      </c>
      <c r="D363" s="9">
        <f>'Column Definition'!C369</f>
        <v>0</v>
      </c>
      <c r="E363" s="9" t="str">
        <f t="shared" si="45"/>
        <v>, 0</v>
      </c>
      <c r="F363" s="9" t="str">
        <f t="shared" si="46"/>
        <v>, s.0</v>
      </c>
      <c r="G363" s="3" t="str">
        <f t="shared" si="41"/>
        <v>OR (s.0 &lt;&gt; t.0 OR ( t.0 Is Null AND s.0 Is Not Null) OR ( t.0 Is not Null AND s.0 Is  Null))</v>
      </c>
      <c r="H363" s="9" t="str">
        <f t="shared" si="47"/>
        <v>, t.0 = s.0</v>
      </c>
    </row>
    <row r="364" spans="2:8" x14ac:dyDescent="0.25">
      <c r="B364" s="9">
        <f>'Column Definition'!F370</f>
        <v>0</v>
      </c>
      <c r="C364" s="14" t="str">
        <f>_xlfn.SWITCH(Table4[[#This Row],[Column1]],"int", 0, "Smallint", 0, "tinyint", 0, "Bit", 0, "varchar", "'A'", "nvarchar", "'A'", "char", "'A'", "numeric", 0,"decimal", 0, "date", "'01/01/2000'", "datetime", "'01/01/2000'", "")</f>
        <v/>
      </c>
      <c r="D364" s="9">
        <f>'Column Definition'!C370</f>
        <v>0</v>
      </c>
      <c r="E364" s="9" t="str">
        <f t="shared" si="45"/>
        <v>, 0</v>
      </c>
      <c r="F364" s="9" t="str">
        <f t="shared" si="46"/>
        <v>, s.0</v>
      </c>
      <c r="G364" s="3" t="str">
        <f t="shared" si="41"/>
        <v>OR (s.0 &lt;&gt; t.0 OR ( t.0 Is Null AND s.0 Is Not Null) OR ( t.0 Is not Null AND s.0 Is  Null))</v>
      </c>
      <c r="H364" s="9" t="str">
        <f t="shared" si="47"/>
        <v>, t.0 = s.0</v>
      </c>
    </row>
    <row r="365" spans="2:8" x14ac:dyDescent="0.25">
      <c r="B365" s="9">
        <f>'Column Definition'!F371</f>
        <v>0</v>
      </c>
      <c r="C365" s="14" t="str">
        <f>_xlfn.SWITCH(Table4[[#This Row],[Column1]],"int", 0, "Smallint", 0, "tinyint", 0, "Bit", 0, "varchar", "'A'", "nvarchar", "'A'", "char", "'A'", "numeric", 0,"decimal", 0, "date", "'01/01/2000'", "datetime", "'01/01/2000'", "")</f>
        <v/>
      </c>
      <c r="D365" s="9">
        <f>'Column Definition'!C371</f>
        <v>0</v>
      </c>
      <c r="E365" s="9" t="str">
        <f t="shared" si="45"/>
        <v>, 0</v>
      </c>
      <c r="F365" s="9" t="str">
        <f t="shared" si="46"/>
        <v>, s.0</v>
      </c>
      <c r="G365" s="3" t="str">
        <f t="shared" si="41"/>
        <v>OR (s.0 &lt;&gt; t.0 OR ( t.0 Is Null AND s.0 Is Not Null) OR ( t.0 Is not Null AND s.0 Is  Null))</v>
      </c>
      <c r="H365" s="9" t="str">
        <f t="shared" si="47"/>
        <v>, t.0 = s.0</v>
      </c>
    </row>
    <row r="366" spans="2:8" x14ac:dyDescent="0.25">
      <c r="B366" s="9">
        <f>'Column Definition'!F372</f>
        <v>0</v>
      </c>
      <c r="C366" s="14" t="str">
        <f>_xlfn.SWITCH(Table4[[#This Row],[Column1]],"int", 0, "Smallint", 0, "tinyint", 0, "Bit", 0, "varchar", "'A'", "nvarchar", "'A'", "char", "'A'", "numeric", 0,"decimal", 0, "date", "'01/01/2000'", "datetime", "'01/01/2000'", "")</f>
        <v/>
      </c>
      <c r="D366" s="9">
        <f>'Column Definition'!C372</f>
        <v>0</v>
      </c>
      <c r="E366" s="9" t="str">
        <f t="shared" si="45"/>
        <v>, 0</v>
      </c>
      <c r="F366" s="9" t="str">
        <f t="shared" si="46"/>
        <v>, s.0</v>
      </c>
      <c r="G366" s="3" t="str">
        <f t="shared" si="41"/>
        <v>OR (s.0 &lt;&gt; t.0 OR ( t.0 Is Null AND s.0 Is Not Null) OR ( t.0 Is not Null AND s.0 Is  Null))</v>
      </c>
      <c r="H366" s="9" t="str">
        <f t="shared" si="47"/>
        <v>, t.0 = s.0</v>
      </c>
    </row>
    <row r="367" spans="2:8" x14ac:dyDescent="0.25">
      <c r="B367" s="9">
        <f>'Column Definition'!F373</f>
        <v>0</v>
      </c>
      <c r="C367" s="14" t="str">
        <f>_xlfn.SWITCH(Table4[[#This Row],[Column1]],"int", 0, "Smallint", 0, "tinyint", 0, "Bit", 0, "varchar", "'A'", "nvarchar", "'A'", "char", "'A'", "numeric", 0,"decimal", 0, "date", "'01/01/2000'", "datetime", "'01/01/2000'", "")</f>
        <v/>
      </c>
      <c r="D367" s="9">
        <f>'Column Definition'!C373</f>
        <v>0</v>
      </c>
      <c r="E367" s="9" t="str">
        <f t="shared" si="45"/>
        <v>, 0</v>
      </c>
      <c r="F367" s="9" t="str">
        <f t="shared" si="46"/>
        <v>, s.0</v>
      </c>
      <c r="G367" s="3" t="str">
        <f t="shared" si="41"/>
        <v>OR (s.0 &lt;&gt; t.0 OR ( t.0 Is Null AND s.0 Is Not Null) OR ( t.0 Is not Null AND s.0 Is  Null))</v>
      </c>
      <c r="H367" s="9" t="str">
        <f t="shared" si="47"/>
        <v>, t.0 = s.0</v>
      </c>
    </row>
    <row r="368" spans="2:8" x14ac:dyDescent="0.25">
      <c r="B368" s="9">
        <f>'Column Definition'!F374</f>
        <v>0</v>
      </c>
      <c r="C368" s="14" t="str">
        <f>_xlfn.SWITCH(Table4[[#This Row],[Column1]],"int", 0, "Smallint", 0, "tinyint", 0, "Bit", 0, "varchar", "'A'", "nvarchar", "'A'", "char", "'A'", "numeric", 0,"decimal", 0, "date", "'01/01/2000'", "datetime", "'01/01/2000'", "")</f>
        <v/>
      </c>
      <c r="D368" s="9">
        <f>'Column Definition'!C374</f>
        <v>0</v>
      </c>
      <c r="E368" s="9" t="str">
        <f t="shared" si="45"/>
        <v>, 0</v>
      </c>
      <c r="F368" s="9" t="str">
        <f t="shared" si="46"/>
        <v>, s.0</v>
      </c>
      <c r="G368" s="3" t="str">
        <f t="shared" si="41"/>
        <v>OR (s.0 &lt;&gt; t.0 OR ( t.0 Is Null AND s.0 Is Not Null) OR ( t.0 Is not Null AND s.0 Is  Null))</v>
      </c>
      <c r="H368" s="9" t="str">
        <f t="shared" si="47"/>
        <v>, t.0 = s.0</v>
      </c>
    </row>
    <row r="369" spans="2:8" x14ac:dyDescent="0.25">
      <c r="B369" s="9">
        <f>'Column Definition'!F375</f>
        <v>0</v>
      </c>
      <c r="C369" s="14" t="str">
        <f>_xlfn.SWITCH(Table4[[#This Row],[Column1]],"int", 0, "Smallint", 0, "tinyint", 0, "Bit", 0, "varchar", "'A'", "nvarchar", "'A'", "char", "'A'", "numeric", 0,"decimal", 0, "date", "'01/01/2000'", "datetime", "'01/01/2000'", "")</f>
        <v/>
      </c>
      <c r="D369" s="9">
        <f>'Column Definition'!C375</f>
        <v>0</v>
      </c>
      <c r="E369" s="9" t="str">
        <f t="shared" ref="E369:E392" si="48">", "&amp;D369</f>
        <v>, 0</v>
      </c>
      <c r="F369" s="9" t="str">
        <f t="shared" ref="F369:F392" si="49">", s."&amp;D369</f>
        <v>, s.0</v>
      </c>
      <c r="G369" s="3" t="str">
        <f t="shared" si="41"/>
        <v>OR (s.0 &lt;&gt; t.0 OR ( t.0 Is Null AND s.0 Is Not Null) OR ( t.0 Is not Null AND s.0 Is  Null))</v>
      </c>
      <c r="H369" s="9" t="str">
        <f t="shared" ref="H369:H392" si="50">", t."&amp; D369  &amp; " = s." &amp; D369</f>
        <v>, t.0 = s.0</v>
      </c>
    </row>
    <row r="370" spans="2:8" x14ac:dyDescent="0.25">
      <c r="B370" s="9">
        <f>'Column Definition'!F376</f>
        <v>0</v>
      </c>
      <c r="C370" s="14" t="str">
        <f>_xlfn.SWITCH(Table4[[#This Row],[Column1]],"int", 0, "Smallint", 0, "tinyint", 0, "Bit", 0, "varchar", "'A'", "nvarchar", "'A'", "char", "'A'", "numeric", 0,"decimal", 0, "date", "'01/01/2000'", "datetime", "'01/01/2000'", "")</f>
        <v/>
      </c>
      <c r="D370" s="9">
        <f>'Column Definition'!C376</f>
        <v>0</v>
      </c>
      <c r="E370" s="9" t="str">
        <f t="shared" si="48"/>
        <v>, 0</v>
      </c>
      <c r="F370" s="9" t="str">
        <f t="shared" si="49"/>
        <v>, s.0</v>
      </c>
      <c r="G370" s="3" t="str">
        <f t="shared" si="41"/>
        <v>OR (s.0 &lt;&gt; t.0 OR ( t.0 Is Null AND s.0 Is Not Null) OR ( t.0 Is not Null AND s.0 Is  Null))</v>
      </c>
      <c r="H370" s="9" t="str">
        <f t="shared" si="50"/>
        <v>, t.0 = s.0</v>
      </c>
    </row>
    <row r="371" spans="2:8" x14ac:dyDescent="0.25">
      <c r="B371" s="9">
        <f>'Column Definition'!F377</f>
        <v>0</v>
      </c>
      <c r="C371" s="14" t="str">
        <f>_xlfn.SWITCH(Table4[[#This Row],[Column1]],"int", 0, "Smallint", 0, "tinyint", 0, "Bit", 0, "varchar", "'A'", "nvarchar", "'A'", "char", "'A'", "numeric", 0,"decimal", 0, "date", "'01/01/2000'", "datetime", "'01/01/2000'", "")</f>
        <v/>
      </c>
      <c r="D371" s="9">
        <f>'Column Definition'!C377</f>
        <v>0</v>
      </c>
      <c r="E371" s="9" t="str">
        <f t="shared" si="48"/>
        <v>, 0</v>
      </c>
      <c r="F371" s="9" t="str">
        <f t="shared" si="49"/>
        <v>, s.0</v>
      </c>
      <c r="G371" s="3" t="str">
        <f t="shared" si="41"/>
        <v>OR (s.0 &lt;&gt; t.0 OR ( t.0 Is Null AND s.0 Is Not Null) OR ( t.0 Is not Null AND s.0 Is  Null))</v>
      </c>
      <c r="H371" s="9" t="str">
        <f t="shared" si="50"/>
        <v>, t.0 = s.0</v>
      </c>
    </row>
    <row r="372" spans="2:8" x14ac:dyDescent="0.25">
      <c r="B372" s="9">
        <f>'Column Definition'!F378</f>
        <v>0</v>
      </c>
      <c r="C372" s="14" t="str">
        <f>_xlfn.SWITCH(Table4[[#This Row],[Column1]],"int", 0, "Smallint", 0, "tinyint", 0, "Bit", 0, "varchar", "'A'", "nvarchar", "'A'", "char", "'A'", "numeric", 0,"decimal", 0, "date", "'01/01/2000'", "datetime", "'01/01/2000'", "")</f>
        <v/>
      </c>
      <c r="D372" s="9">
        <f>'Column Definition'!C378</f>
        <v>0</v>
      </c>
      <c r="E372" s="9" t="str">
        <f t="shared" si="48"/>
        <v>, 0</v>
      </c>
      <c r="F372" s="9" t="str">
        <f t="shared" si="49"/>
        <v>, s.0</v>
      </c>
      <c r="G372" s="3" t="str">
        <f t="shared" si="41"/>
        <v>OR (s.0 &lt;&gt; t.0 OR ( t.0 Is Null AND s.0 Is Not Null) OR ( t.0 Is not Null AND s.0 Is  Null))</v>
      </c>
      <c r="H372" s="9" t="str">
        <f t="shared" si="50"/>
        <v>, t.0 = s.0</v>
      </c>
    </row>
    <row r="373" spans="2:8" x14ac:dyDescent="0.25">
      <c r="B373" s="9">
        <f>'Column Definition'!F379</f>
        <v>0</v>
      </c>
      <c r="C373" s="14" t="str">
        <f>_xlfn.SWITCH(Table4[[#This Row],[Column1]],"int", 0, "Smallint", 0, "tinyint", 0, "Bit", 0, "varchar", "'A'", "nvarchar", "'A'", "char", "'A'", "numeric", 0,"decimal", 0, "date", "'01/01/2000'", "datetime", "'01/01/2000'", "")</f>
        <v/>
      </c>
      <c r="D373" s="9">
        <f>'Column Definition'!C379</f>
        <v>0</v>
      </c>
      <c r="E373" s="9" t="str">
        <f t="shared" si="48"/>
        <v>, 0</v>
      </c>
      <c r="F373" s="9" t="str">
        <f t="shared" si="49"/>
        <v>, s.0</v>
      </c>
      <c r="G373" s="3" t="str">
        <f t="shared" si="41"/>
        <v>OR (s.0 &lt;&gt; t.0 OR ( t.0 Is Null AND s.0 Is Not Null) OR ( t.0 Is not Null AND s.0 Is  Null))</v>
      </c>
      <c r="H373" s="9" t="str">
        <f t="shared" si="50"/>
        <v>, t.0 = s.0</v>
      </c>
    </row>
    <row r="374" spans="2:8" x14ac:dyDescent="0.25">
      <c r="B374" s="9">
        <f>'Column Definition'!F380</f>
        <v>0</v>
      </c>
      <c r="C374" s="14" t="str">
        <f>_xlfn.SWITCH(Table4[[#This Row],[Column1]],"int", 0, "Smallint", 0, "tinyint", 0, "Bit", 0, "varchar", "'A'", "nvarchar", "'A'", "char", "'A'", "numeric", 0,"decimal", 0, "date", "'01/01/2000'", "datetime", "'01/01/2000'", "")</f>
        <v/>
      </c>
      <c r="D374" s="9">
        <f>'Column Definition'!C380</f>
        <v>0</v>
      </c>
      <c r="E374" s="9" t="str">
        <f t="shared" si="48"/>
        <v>, 0</v>
      </c>
      <c r="F374" s="9" t="str">
        <f t="shared" si="49"/>
        <v>, s.0</v>
      </c>
      <c r="G374" s="3" t="str">
        <f t="shared" si="41"/>
        <v>OR (s.0 &lt;&gt; t.0 OR ( t.0 Is Null AND s.0 Is Not Null) OR ( t.0 Is not Null AND s.0 Is  Null))</v>
      </c>
      <c r="H374" s="9" t="str">
        <f t="shared" si="50"/>
        <v>, t.0 = s.0</v>
      </c>
    </row>
    <row r="375" spans="2:8" x14ac:dyDescent="0.25">
      <c r="B375" s="9">
        <f>'Column Definition'!F381</f>
        <v>0</v>
      </c>
      <c r="C375" s="14" t="str">
        <f>_xlfn.SWITCH(Table4[[#This Row],[Column1]],"int", 0, "Smallint", 0, "tinyint", 0, "Bit", 0, "varchar", "'A'", "nvarchar", "'A'", "char", "'A'", "numeric", 0,"decimal", 0, "date", "'01/01/2000'", "datetime", "'01/01/2000'", "")</f>
        <v/>
      </c>
      <c r="D375" s="9">
        <f>'Column Definition'!C381</f>
        <v>0</v>
      </c>
      <c r="E375" s="9" t="str">
        <f t="shared" si="48"/>
        <v>, 0</v>
      </c>
      <c r="F375" s="9" t="str">
        <f t="shared" si="49"/>
        <v>, s.0</v>
      </c>
      <c r="G375" s="3" t="str">
        <f t="shared" si="41"/>
        <v>OR (s.0 &lt;&gt; t.0 OR ( t.0 Is Null AND s.0 Is Not Null) OR ( t.0 Is not Null AND s.0 Is  Null))</v>
      </c>
      <c r="H375" s="9" t="str">
        <f t="shared" si="50"/>
        <v>, t.0 = s.0</v>
      </c>
    </row>
    <row r="376" spans="2:8" x14ac:dyDescent="0.25">
      <c r="B376" s="9">
        <f>'Column Definition'!F382</f>
        <v>0</v>
      </c>
      <c r="C376" s="14" t="str">
        <f>_xlfn.SWITCH(Table4[[#This Row],[Column1]],"int", 0, "Smallint", 0, "tinyint", 0, "Bit", 0, "varchar", "'A'", "nvarchar", "'A'", "char", "'A'", "numeric", 0,"decimal", 0, "date", "'01/01/2000'", "datetime", "'01/01/2000'", "")</f>
        <v/>
      </c>
      <c r="D376" s="9">
        <f>'Column Definition'!C382</f>
        <v>0</v>
      </c>
      <c r="E376" s="9" t="str">
        <f t="shared" si="48"/>
        <v>, 0</v>
      </c>
      <c r="F376" s="9" t="str">
        <f t="shared" si="49"/>
        <v>, s.0</v>
      </c>
      <c r="G376" s="3" t="str">
        <f t="shared" si="41"/>
        <v>OR (s.0 &lt;&gt; t.0 OR ( t.0 Is Null AND s.0 Is Not Null) OR ( t.0 Is not Null AND s.0 Is  Null))</v>
      </c>
      <c r="H376" s="9" t="str">
        <f t="shared" si="50"/>
        <v>, t.0 = s.0</v>
      </c>
    </row>
    <row r="377" spans="2:8" x14ac:dyDescent="0.25">
      <c r="B377" s="9">
        <f>'Column Definition'!F383</f>
        <v>0</v>
      </c>
      <c r="C377" s="14" t="str">
        <f>_xlfn.SWITCH(Table4[[#This Row],[Column1]],"int", 0, "Smallint", 0, "tinyint", 0, "Bit", 0, "varchar", "'A'", "nvarchar", "'A'", "char", "'A'", "numeric", 0,"decimal", 0, "date", "'01/01/2000'", "datetime", "'01/01/2000'", "")</f>
        <v/>
      </c>
      <c r="D377" s="9">
        <f>'Column Definition'!C383</f>
        <v>0</v>
      </c>
      <c r="E377" s="9" t="str">
        <f t="shared" si="48"/>
        <v>, 0</v>
      </c>
      <c r="F377" s="9" t="str">
        <f t="shared" si="49"/>
        <v>, s.0</v>
      </c>
      <c r="G377" s="3" t="str">
        <f t="shared" si="41"/>
        <v>OR (s.0 &lt;&gt; t.0 OR ( t.0 Is Null AND s.0 Is Not Null) OR ( t.0 Is not Null AND s.0 Is  Null))</v>
      </c>
      <c r="H377" s="9" t="str">
        <f t="shared" si="50"/>
        <v>, t.0 = s.0</v>
      </c>
    </row>
    <row r="378" spans="2:8" x14ac:dyDescent="0.25">
      <c r="B378" s="9">
        <f>'Column Definition'!F384</f>
        <v>0</v>
      </c>
      <c r="C378" s="14" t="str">
        <f>_xlfn.SWITCH(Table4[[#This Row],[Column1]],"int", 0, "Smallint", 0, "tinyint", 0, "Bit", 0, "varchar", "'A'", "nvarchar", "'A'", "char", "'A'", "numeric", 0,"decimal", 0, "date", "'01/01/2000'", "datetime", "'01/01/2000'", "")</f>
        <v/>
      </c>
      <c r="D378" s="9">
        <f>'Column Definition'!C384</f>
        <v>0</v>
      </c>
      <c r="E378" s="9" t="str">
        <f t="shared" si="48"/>
        <v>, 0</v>
      </c>
      <c r="F378" s="9" t="str">
        <f t="shared" si="49"/>
        <v>, s.0</v>
      </c>
      <c r="G378" s="3" t="str">
        <f t="shared" si="41"/>
        <v>OR (s.0 &lt;&gt; t.0 OR ( t.0 Is Null AND s.0 Is Not Null) OR ( t.0 Is not Null AND s.0 Is  Null))</v>
      </c>
      <c r="H378" s="9" t="str">
        <f t="shared" si="50"/>
        <v>, t.0 = s.0</v>
      </c>
    </row>
    <row r="379" spans="2:8" x14ac:dyDescent="0.25">
      <c r="B379" s="9">
        <f>'Column Definition'!F385</f>
        <v>0</v>
      </c>
      <c r="C379" s="14" t="str">
        <f>_xlfn.SWITCH(Table4[[#This Row],[Column1]],"int", 0, "Smallint", 0, "tinyint", 0, "Bit", 0, "varchar", "'A'", "nvarchar", "'A'", "char", "'A'", "numeric", 0,"decimal", 0, "date", "'01/01/2000'", "datetime", "'01/01/2000'", "")</f>
        <v/>
      </c>
      <c r="D379" s="9">
        <f>'Column Definition'!C385</f>
        <v>0</v>
      </c>
      <c r="E379" s="9" t="str">
        <f t="shared" si="48"/>
        <v>, 0</v>
      </c>
      <c r="F379" s="9" t="str">
        <f t="shared" si="49"/>
        <v>, s.0</v>
      </c>
      <c r="G379" s="3" t="str">
        <f t="shared" si="41"/>
        <v>OR (s.0 &lt;&gt; t.0 OR ( t.0 Is Null AND s.0 Is Not Null) OR ( t.0 Is not Null AND s.0 Is  Null))</v>
      </c>
      <c r="H379" s="9" t="str">
        <f t="shared" si="50"/>
        <v>, t.0 = s.0</v>
      </c>
    </row>
    <row r="380" spans="2:8" x14ac:dyDescent="0.25">
      <c r="B380" s="9">
        <f>'Column Definition'!F386</f>
        <v>0</v>
      </c>
      <c r="C380" s="14" t="str">
        <f>_xlfn.SWITCH(Table4[[#This Row],[Column1]],"int", 0, "Smallint", 0, "tinyint", 0, "Bit", 0, "varchar", "'A'", "nvarchar", "'A'", "char", "'A'", "numeric", 0,"decimal", 0, "date", "'01/01/2000'", "datetime", "'01/01/2000'", "")</f>
        <v/>
      </c>
      <c r="D380" s="9">
        <f>'Column Definition'!C386</f>
        <v>0</v>
      </c>
      <c r="E380" s="9" t="str">
        <f t="shared" si="48"/>
        <v>, 0</v>
      </c>
      <c r="F380" s="9" t="str">
        <f t="shared" si="49"/>
        <v>, s.0</v>
      </c>
      <c r="G380" s="3" t="str">
        <f t="shared" si="41"/>
        <v>OR (s.0 &lt;&gt; t.0 OR ( t.0 Is Null AND s.0 Is Not Null) OR ( t.0 Is not Null AND s.0 Is  Null))</v>
      </c>
      <c r="H380" s="9" t="str">
        <f t="shared" si="50"/>
        <v>, t.0 = s.0</v>
      </c>
    </row>
    <row r="381" spans="2:8" x14ac:dyDescent="0.25">
      <c r="B381" s="9">
        <f>'Column Definition'!F387</f>
        <v>0</v>
      </c>
      <c r="C381" s="14" t="str">
        <f>_xlfn.SWITCH(Table4[[#This Row],[Column1]],"int", 0, "Smallint", 0, "tinyint", 0, "Bit", 0, "varchar", "'A'", "nvarchar", "'A'", "char", "'A'", "numeric", 0,"decimal", 0, "date", "'01/01/2000'", "datetime", "'01/01/2000'", "")</f>
        <v/>
      </c>
      <c r="D381" s="9">
        <f>'Column Definition'!C387</f>
        <v>0</v>
      </c>
      <c r="E381" s="9" t="str">
        <f t="shared" si="48"/>
        <v>, 0</v>
      </c>
      <c r="F381" s="9" t="str">
        <f t="shared" si="49"/>
        <v>, s.0</v>
      </c>
      <c r="G381" s="3" t="str">
        <f t="shared" si="41"/>
        <v>OR (s.0 &lt;&gt; t.0 OR ( t.0 Is Null AND s.0 Is Not Null) OR ( t.0 Is not Null AND s.0 Is  Null))</v>
      </c>
      <c r="H381" s="9" t="str">
        <f t="shared" si="50"/>
        <v>, t.0 = s.0</v>
      </c>
    </row>
    <row r="382" spans="2:8" x14ac:dyDescent="0.25">
      <c r="B382" s="9">
        <f>'Column Definition'!F388</f>
        <v>0</v>
      </c>
      <c r="C382" s="14" t="str">
        <f>_xlfn.SWITCH(Table4[[#This Row],[Column1]],"int", 0, "Smallint", 0, "tinyint", 0, "Bit", 0, "varchar", "'A'", "nvarchar", "'A'", "char", "'A'", "numeric", 0,"decimal", 0, "date", "'01/01/2000'", "datetime", "'01/01/2000'", "")</f>
        <v/>
      </c>
      <c r="D382" s="9">
        <f>'Column Definition'!C388</f>
        <v>0</v>
      </c>
      <c r="E382" s="9" t="str">
        <f t="shared" si="48"/>
        <v>, 0</v>
      </c>
      <c r="F382" s="9" t="str">
        <f t="shared" si="49"/>
        <v>, s.0</v>
      </c>
      <c r="G382" s="3" t="str">
        <f t="shared" si="41"/>
        <v>OR (s.0 &lt;&gt; t.0 OR ( t.0 Is Null AND s.0 Is Not Null) OR ( t.0 Is not Null AND s.0 Is  Null))</v>
      </c>
      <c r="H382" s="9" t="str">
        <f t="shared" si="50"/>
        <v>, t.0 = s.0</v>
      </c>
    </row>
    <row r="383" spans="2:8" x14ac:dyDescent="0.25">
      <c r="B383" s="9">
        <f>'Column Definition'!F389</f>
        <v>0</v>
      </c>
      <c r="C383" s="14" t="str">
        <f>_xlfn.SWITCH(Table4[[#This Row],[Column1]],"int", 0, "Smallint", 0, "tinyint", 0, "Bit", 0, "varchar", "'A'", "nvarchar", "'A'", "char", "'A'", "numeric", 0,"decimal", 0, "date", "'01/01/2000'", "datetime", "'01/01/2000'", "")</f>
        <v/>
      </c>
      <c r="D383" s="9">
        <f>'Column Definition'!C389</f>
        <v>0</v>
      </c>
      <c r="E383" s="9" t="str">
        <f t="shared" si="48"/>
        <v>, 0</v>
      </c>
      <c r="F383" s="9" t="str">
        <f t="shared" si="49"/>
        <v>, s.0</v>
      </c>
      <c r="G383" s="3" t="str">
        <f t="shared" si="41"/>
        <v>OR (s.0 &lt;&gt; t.0 OR ( t.0 Is Null AND s.0 Is Not Null) OR ( t.0 Is not Null AND s.0 Is  Null))</v>
      </c>
      <c r="H383" s="9" t="str">
        <f t="shared" si="50"/>
        <v>, t.0 = s.0</v>
      </c>
    </row>
    <row r="384" spans="2:8" x14ac:dyDescent="0.25">
      <c r="B384" s="9">
        <f>'Column Definition'!F390</f>
        <v>0</v>
      </c>
      <c r="C384" s="14" t="str">
        <f>_xlfn.SWITCH(Table4[[#This Row],[Column1]],"int", 0, "Smallint", 0, "tinyint", 0, "Bit", 0, "varchar", "'A'", "nvarchar", "'A'", "char", "'A'", "numeric", 0,"decimal", 0, "date", "'01/01/2000'", "datetime", "'01/01/2000'", "")</f>
        <v/>
      </c>
      <c r="D384" s="9">
        <f>'Column Definition'!C390</f>
        <v>0</v>
      </c>
      <c r="E384" s="9" t="str">
        <f t="shared" si="48"/>
        <v>, 0</v>
      </c>
      <c r="F384" s="9" t="str">
        <f t="shared" si="49"/>
        <v>, s.0</v>
      </c>
      <c r="G384" s="3" t="str">
        <f t="shared" si="41"/>
        <v>OR (s.0 &lt;&gt; t.0 OR ( t.0 Is Null AND s.0 Is Not Null) OR ( t.0 Is not Null AND s.0 Is  Null))</v>
      </c>
      <c r="H384" s="9" t="str">
        <f t="shared" si="50"/>
        <v>, t.0 = s.0</v>
      </c>
    </row>
    <row r="385" spans="2:8" x14ac:dyDescent="0.25">
      <c r="B385" s="9">
        <f>'Column Definition'!F391</f>
        <v>0</v>
      </c>
      <c r="C385" s="14" t="str">
        <f>_xlfn.SWITCH(Table4[[#This Row],[Column1]],"int", 0, "Smallint", 0, "tinyint", 0, "Bit", 0, "varchar", "'A'", "nvarchar", "'A'", "char", "'A'", "numeric", 0,"decimal", 0, "date", "'01/01/2000'", "datetime", "'01/01/2000'", "")</f>
        <v/>
      </c>
      <c r="D385" s="9">
        <f>'Column Definition'!C391</f>
        <v>0</v>
      </c>
      <c r="E385" s="9" t="str">
        <f t="shared" si="48"/>
        <v>, 0</v>
      </c>
      <c r="F385" s="9" t="str">
        <f t="shared" si="49"/>
        <v>, s.0</v>
      </c>
      <c r="G385" s="3" t="str">
        <f t="shared" si="41"/>
        <v>OR (s.0 &lt;&gt; t.0 OR ( t.0 Is Null AND s.0 Is Not Null) OR ( t.0 Is not Null AND s.0 Is  Null))</v>
      </c>
      <c r="H385" s="9" t="str">
        <f t="shared" si="50"/>
        <v>, t.0 = s.0</v>
      </c>
    </row>
    <row r="386" spans="2:8" x14ac:dyDescent="0.25">
      <c r="B386" s="9">
        <f>'Column Definition'!F392</f>
        <v>0</v>
      </c>
      <c r="C386" s="14" t="str">
        <f>_xlfn.SWITCH(Table4[[#This Row],[Column1]],"int", 0, "Smallint", 0, "tinyint", 0, "Bit", 0, "varchar", "'A'", "nvarchar", "'A'", "char", "'A'", "numeric", 0,"decimal", 0, "date", "'01/01/2000'", "datetime", "'01/01/2000'", "")</f>
        <v/>
      </c>
      <c r="D386" s="9">
        <f>'Column Definition'!C392</f>
        <v>0</v>
      </c>
      <c r="E386" s="9" t="str">
        <f t="shared" si="48"/>
        <v>, 0</v>
      </c>
      <c r="F386" s="9" t="str">
        <f t="shared" si="49"/>
        <v>, s.0</v>
      </c>
      <c r="G386" s="3" t="str">
        <f t="shared" si="41"/>
        <v>OR (s.0 &lt;&gt; t.0 OR ( t.0 Is Null AND s.0 Is Not Null) OR ( t.0 Is not Null AND s.0 Is  Null))</v>
      </c>
      <c r="H386" s="9" t="str">
        <f t="shared" si="50"/>
        <v>, t.0 = s.0</v>
      </c>
    </row>
    <row r="387" spans="2:8" x14ac:dyDescent="0.25">
      <c r="B387" s="9">
        <f>'Column Definition'!F393</f>
        <v>0</v>
      </c>
      <c r="C387" s="14" t="str">
        <f>_xlfn.SWITCH(Table4[[#This Row],[Column1]],"int", 0, "Smallint", 0, "tinyint", 0, "Bit", 0, "varchar", "'A'", "nvarchar", "'A'", "char", "'A'", "numeric", 0,"decimal", 0, "date", "'01/01/2000'", "datetime", "'01/01/2000'", "")</f>
        <v/>
      </c>
      <c r="D387" s="9">
        <f>'Column Definition'!C393</f>
        <v>0</v>
      </c>
      <c r="E387" s="9" t="str">
        <f t="shared" si="48"/>
        <v>, 0</v>
      </c>
      <c r="F387" s="9" t="str">
        <f t="shared" si="49"/>
        <v>, s.0</v>
      </c>
      <c r="G387" s="3" t="str">
        <f t="shared" si="41"/>
        <v>OR (s.0 &lt;&gt; t.0 OR ( t.0 Is Null AND s.0 Is Not Null) OR ( t.0 Is not Null AND s.0 Is  Null))</v>
      </c>
      <c r="H387" s="9" t="str">
        <f t="shared" si="50"/>
        <v>, t.0 = s.0</v>
      </c>
    </row>
    <row r="388" spans="2:8" x14ac:dyDescent="0.25">
      <c r="B388" s="9">
        <f>'Column Definition'!F394</f>
        <v>0</v>
      </c>
      <c r="C388" s="14" t="str">
        <f>_xlfn.SWITCH(Table4[[#This Row],[Column1]],"int", 0, "Smallint", 0, "tinyint", 0, "Bit", 0, "varchar", "'A'", "nvarchar", "'A'", "char", "'A'", "numeric", 0,"decimal", 0, "date", "'01/01/2000'", "datetime", "'01/01/2000'", "")</f>
        <v/>
      </c>
      <c r="D388" s="9">
        <f>'Column Definition'!C394</f>
        <v>0</v>
      </c>
      <c r="E388" s="9" t="str">
        <f t="shared" si="48"/>
        <v>, 0</v>
      </c>
      <c r="F388" s="9" t="str">
        <f t="shared" si="49"/>
        <v>, s.0</v>
      </c>
      <c r="G388" s="3" t="str">
        <f t="shared" ref="G388:G451" si="51">"OR (s."&amp;D388&amp;" &lt;&gt; t." &amp; D388 &amp; " OR ( t." &amp; D388  &amp; " Is Null AND s." &amp;D388 &amp; " Is Not Null) OR ( t." &amp; D388  &amp; " Is not Null AND s." &amp;D388 &amp; " Is  Null))"</f>
        <v>OR (s.0 &lt;&gt; t.0 OR ( t.0 Is Null AND s.0 Is Not Null) OR ( t.0 Is not Null AND s.0 Is  Null))</v>
      </c>
      <c r="H388" s="9" t="str">
        <f t="shared" si="50"/>
        <v>, t.0 = s.0</v>
      </c>
    </row>
    <row r="389" spans="2:8" x14ac:dyDescent="0.25">
      <c r="B389" s="9">
        <f>'Column Definition'!F395</f>
        <v>0</v>
      </c>
      <c r="C389" s="14" t="str">
        <f>_xlfn.SWITCH(Table4[[#This Row],[Column1]],"int", 0, "Smallint", 0, "tinyint", 0, "Bit", 0, "varchar", "'A'", "nvarchar", "'A'", "char", "'A'", "numeric", 0,"decimal", 0, "date", "'01/01/2000'", "datetime", "'01/01/2000'", "")</f>
        <v/>
      </c>
      <c r="D389" s="9">
        <f>'Column Definition'!C395</f>
        <v>0</v>
      </c>
      <c r="E389" s="9" t="str">
        <f t="shared" si="48"/>
        <v>, 0</v>
      </c>
      <c r="F389" s="9" t="str">
        <f t="shared" si="49"/>
        <v>, s.0</v>
      </c>
      <c r="G389" s="3" t="str">
        <f t="shared" si="51"/>
        <v>OR (s.0 &lt;&gt; t.0 OR ( t.0 Is Null AND s.0 Is Not Null) OR ( t.0 Is not Null AND s.0 Is  Null))</v>
      </c>
      <c r="H389" s="9" t="str">
        <f t="shared" si="50"/>
        <v>, t.0 = s.0</v>
      </c>
    </row>
    <row r="390" spans="2:8" x14ac:dyDescent="0.25">
      <c r="B390" s="9">
        <f>'Column Definition'!F396</f>
        <v>0</v>
      </c>
      <c r="C390" s="14" t="str">
        <f>_xlfn.SWITCH(Table4[[#This Row],[Column1]],"int", 0, "Smallint", 0, "tinyint", 0, "Bit", 0, "varchar", "'A'", "nvarchar", "'A'", "char", "'A'", "numeric", 0,"decimal", 0, "date", "'01/01/2000'", "datetime", "'01/01/2000'", "")</f>
        <v/>
      </c>
      <c r="D390" s="9">
        <f>'Column Definition'!C396</f>
        <v>0</v>
      </c>
      <c r="E390" s="9" t="str">
        <f t="shared" si="48"/>
        <v>, 0</v>
      </c>
      <c r="F390" s="9" t="str">
        <f t="shared" si="49"/>
        <v>, s.0</v>
      </c>
      <c r="G390" s="3" t="str">
        <f t="shared" si="51"/>
        <v>OR (s.0 &lt;&gt; t.0 OR ( t.0 Is Null AND s.0 Is Not Null) OR ( t.0 Is not Null AND s.0 Is  Null))</v>
      </c>
      <c r="H390" s="9" t="str">
        <f t="shared" si="50"/>
        <v>, t.0 = s.0</v>
      </c>
    </row>
    <row r="391" spans="2:8" x14ac:dyDescent="0.25">
      <c r="B391" s="9">
        <f>'Column Definition'!F397</f>
        <v>0</v>
      </c>
      <c r="C391" s="14" t="str">
        <f>_xlfn.SWITCH(Table4[[#This Row],[Column1]],"int", 0, "Smallint", 0, "tinyint", 0, "Bit", 0, "varchar", "'A'", "nvarchar", "'A'", "char", "'A'", "numeric", 0,"decimal", 0, "date", "'01/01/2000'", "datetime", "'01/01/2000'", "")</f>
        <v/>
      </c>
      <c r="D391" s="9">
        <f>'Column Definition'!C397</f>
        <v>0</v>
      </c>
      <c r="E391" s="9" t="str">
        <f t="shared" si="48"/>
        <v>, 0</v>
      </c>
      <c r="F391" s="9" t="str">
        <f t="shared" si="49"/>
        <v>, s.0</v>
      </c>
      <c r="G391" s="3" t="str">
        <f t="shared" si="51"/>
        <v>OR (s.0 &lt;&gt; t.0 OR ( t.0 Is Null AND s.0 Is Not Null) OR ( t.0 Is not Null AND s.0 Is  Null))</v>
      </c>
      <c r="H391" s="9" t="str">
        <f t="shared" si="50"/>
        <v>, t.0 = s.0</v>
      </c>
    </row>
    <row r="392" spans="2:8" x14ac:dyDescent="0.25">
      <c r="B392" s="9">
        <f>'Column Definition'!F398</f>
        <v>0</v>
      </c>
      <c r="C392" s="14" t="str">
        <f>_xlfn.SWITCH(Table4[[#This Row],[Column1]],"int", 0, "Smallint", 0, "tinyint", 0, "Bit", 0, "varchar", "'A'", "nvarchar", "'A'", "char", "'A'", "numeric", 0,"decimal", 0, "date", "'01/01/2000'", "datetime", "'01/01/2000'", "")</f>
        <v/>
      </c>
      <c r="D392" s="9">
        <f>'Column Definition'!C398</f>
        <v>0</v>
      </c>
      <c r="E392" s="9" t="str">
        <f t="shared" si="48"/>
        <v>, 0</v>
      </c>
      <c r="F392" s="9" t="str">
        <f t="shared" si="49"/>
        <v>, s.0</v>
      </c>
      <c r="G392" s="3" t="str">
        <f t="shared" si="51"/>
        <v>OR (s.0 &lt;&gt; t.0 OR ( t.0 Is Null AND s.0 Is Not Null) OR ( t.0 Is not Null AND s.0 Is  Null))</v>
      </c>
      <c r="H392" s="9" t="str">
        <f t="shared" si="50"/>
        <v>, t.0 = s.0</v>
      </c>
    </row>
    <row r="393" spans="2:8" x14ac:dyDescent="0.25">
      <c r="B393" s="9">
        <f>'Column Definition'!F399</f>
        <v>0</v>
      </c>
      <c r="C393" s="14" t="str">
        <f>_xlfn.SWITCH(Table4[[#This Row],[Column1]],"int", 0, "Smallint", 0, "tinyint", 0, "Bit", 0, "varchar", "'A'", "nvarchar", "'A'", "char", "'A'", "numeric", 0,"decimal", 0, "date", "'01/01/2000'", "datetime", "'01/01/2000'", "")</f>
        <v/>
      </c>
      <c r="D393" s="9">
        <f>'Column Definition'!C399</f>
        <v>0</v>
      </c>
      <c r="E393" s="9" t="str">
        <f t="shared" ref="E393:E434" si="52">", "&amp;D393</f>
        <v>, 0</v>
      </c>
      <c r="F393" s="9" t="str">
        <f t="shared" ref="F393:F434" si="53">", s."&amp;D393</f>
        <v>, s.0</v>
      </c>
      <c r="G393" s="3" t="str">
        <f t="shared" si="51"/>
        <v>OR (s.0 &lt;&gt; t.0 OR ( t.0 Is Null AND s.0 Is Not Null) OR ( t.0 Is not Null AND s.0 Is  Null))</v>
      </c>
      <c r="H393" s="9" t="str">
        <f t="shared" ref="H393:H434" si="54">", t."&amp; D393  &amp; " = s." &amp; D393</f>
        <v>, t.0 = s.0</v>
      </c>
    </row>
    <row r="394" spans="2:8" x14ac:dyDescent="0.25">
      <c r="B394" s="9">
        <f>'Column Definition'!F400</f>
        <v>0</v>
      </c>
      <c r="C394" s="14" t="str">
        <f>_xlfn.SWITCH(Table4[[#This Row],[Column1]],"int", 0, "Smallint", 0, "tinyint", 0, "Bit", 0, "varchar", "'A'", "nvarchar", "'A'", "char", "'A'", "numeric", 0,"decimal", 0, "date", "'01/01/2000'", "datetime", "'01/01/2000'", "")</f>
        <v/>
      </c>
      <c r="D394" s="9">
        <f>'Column Definition'!C400</f>
        <v>0</v>
      </c>
      <c r="E394" s="9" t="str">
        <f t="shared" si="52"/>
        <v>, 0</v>
      </c>
      <c r="F394" s="9" t="str">
        <f t="shared" si="53"/>
        <v>, s.0</v>
      </c>
      <c r="G394" s="3" t="str">
        <f t="shared" si="51"/>
        <v>OR (s.0 &lt;&gt; t.0 OR ( t.0 Is Null AND s.0 Is Not Null) OR ( t.0 Is not Null AND s.0 Is  Null))</v>
      </c>
      <c r="H394" s="9" t="str">
        <f t="shared" si="54"/>
        <v>, t.0 = s.0</v>
      </c>
    </row>
    <row r="395" spans="2:8" x14ac:dyDescent="0.25">
      <c r="B395" s="9">
        <f>'Column Definition'!F401</f>
        <v>0</v>
      </c>
      <c r="C395" s="14" t="str">
        <f>_xlfn.SWITCH(Table4[[#This Row],[Column1]],"int", 0, "Smallint", 0, "tinyint", 0, "Bit", 0, "varchar", "'A'", "nvarchar", "'A'", "char", "'A'", "numeric", 0,"decimal", 0, "date", "'01/01/2000'", "datetime", "'01/01/2000'", "")</f>
        <v/>
      </c>
      <c r="D395" s="9">
        <f>'Column Definition'!C401</f>
        <v>0</v>
      </c>
      <c r="E395" s="9" t="str">
        <f t="shared" si="52"/>
        <v>, 0</v>
      </c>
      <c r="F395" s="9" t="str">
        <f t="shared" si="53"/>
        <v>, s.0</v>
      </c>
      <c r="G395" s="3" t="str">
        <f t="shared" si="51"/>
        <v>OR (s.0 &lt;&gt; t.0 OR ( t.0 Is Null AND s.0 Is Not Null) OR ( t.0 Is not Null AND s.0 Is  Null))</v>
      </c>
      <c r="H395" s="9" t="str">
        <f t="shared" si="54"/>
        <v>, t.0 = s.0</v>
      </c>
    </row>
    <row r="396" spans="2:8" x14ac:dyDescent="0.25">
      <c r="B396" s="9">
        <f>'Column Definition'!F402</f>
        <v>0</v>
      </c>
      <c r="C396" s="14" t="str">
        <f>_xlfn.SWITCH(Table4[[#This Row],[Column1]],"int", 0, "Smallint", 0, "tinyint", 0, "Bit", 0, "varchar", "'A'", "nvarchar", "'A'", "char", "'A'", "numeric", 0,"decimal", 0, "date", "'01/01/2000'", "datetime", "'01/01/2000'", "")</f>
        <v/>
      </c>
      <c r="D396" s="9">
        <f>'Column Definition'!C402</f>
        <v>0</v>
      </c>
      <c r="E396" s="9" t="str">
        <f t="shared" si="52"/>
        <v>, 0</v>
      </c>
      <c r="F396" s="9" t="str">
        <f t="shared" si="53"/>
        <v>, s.0</v>
      </c>
      <c r="G396" s="3" t="str">
        <f t="shared" si="51"/>
        <v>OR (s.0 &lt;&gt; t.0 OR ( t.0 Is Null AND s.0 Is Not Null) OR ( t.0 Is not Null AND s.0 Is  Null))</v>
      </c>
      <c r="H396" s="9" t="str">
        <f t="shared" si="54"/>
        <v>, t.0 = s.0</v>
      </c>
    </row>
    <row r="397" spans="2:8" x14ac:dyDescent="0.25">
      <c r="B397" s="9">
        <f>'Column Definition'!F403</f>
        <v>0</v>
      </c>
      <c r="C397" s="14" t="str">
        <f>_xlfn.SWITCH(Table4[[#This Row],[Column1]],"int", 0, "Smallint", 0, "tinyint", 0, "Bit", 0, "varchar", "'A'", "nvarchar", "'A'", "char", "'A'", "numeric", 0,"decimal", 0, "date", "'01/01/2000'", "datetime", "'01/01/2000'", "")</f>
        <v/>
      </c>
      <c r="D397" s="9">
        <f>'Column Definition'!C403</f>
        <v>0</v>
      </c>
      <c r="E397" s="9" t="str">
        <f t="shared" si="52"/>
        <v>, 0</v>
      </c>
      <c r="F397" s="9" t="str">
        <f t="shared" si="53"/>
        <v>, s.0</v>
      </c>
      <c r="G397" s="3" t="str">
        <f t="shared" si="51"/>
        <v>OR (s.0 &lt;&gt; t.0 OR ( t.0 Is Null AND s.0 Is Not Null) OR ( t.0 Is not Null AND s.0 Is  Null))</v>
      </c>
      <c r="H397" s="9" t="str">
        <f t="shared" si="54"/>
        <v>, t.0 = s.0</v>
      </c>
    </row>
    <row r="398" spans="2:8" x14ac:dyDescent="0.25">
      <c r="B398" s="9">
        <f>'Column Definition'!F404</f>
        <v>0</v>
      </c>
      <c r="C398" s="14" t="str">
        <f>_xlfn.SWITCH(Table4[[#This Row],[Column1]],"int", 0, "Smallint", 0, "tinyint", 0, "Bit", 0, "varchar", "'A'", "nvarchar", "'A'", "char", "'A'", "numeric", 0,"decimal", 0, "date", "'01/01/2000'", "datetime", "'01/01/2000'", "")</f>
        <v/>
      </c>
      <c r="D398" s="9">
        <f>'Column Definition'!C404</f>
        <v>0</v>
      </c>
      <c r="E398" s="9" t="str">
        <f t="shared" si="52"/>
        <v>, 0</v>
      </c>
      <c r="F398" s="9" t="str">
        <f t="shared" si="53"/>
        <v>, s.0</v>
      </c>
      <c r="G398" s="3" t="str">
        <f t="shared" si="51"/>
        <v>OR (s.0 &lt;&gt; t.0 OR ( t.0 Is Null AND s.0 Is Not Null) OR ( t.0 Is not Null AND s.0 Is  Null))</v>
      </c>
      <c r="H398" s="9" t="str">
        <f t="shared" si="54"/>
        <v>, t.0 = s.0</v>
      </c>
    </row>
    <row r="399" spans="2:8" x14ac:dyDescent="0.25">
      <c r="B399" s="9">
        <f>'Column Definition'!F405</f>
        <v>0</v>
      </c>
      <c r="C399" s="14" t="str">
        <f>_xlfn.SWITCH(Table4[[#This Row],[Column1]],"int", 0, "Smallint", 0, "tinyint", 0, "Bit", 0, "varchar", "'A'", "nvarchar", "'A'", "char", "'A'", "numeric", 0,"decimal", 0, "date", "'01/01/2000'", "datetime", "'01/01/2000'", "")</f>
        <v/>
      </c>
      <c r="D399" s="9">
        <f>'Column Definition'!C405</f>
        <v>0</v>
      </c>
      <c r="E399" s="9" t="str">
        <f t="shared" si="52"/>
        <v>, 0</v>
      </c>
      <c r="F399" s="9" t="str">
        <f t="shared" si="53"/>
        <v>, s.0</v>
      </c>
      <c r="G399" s="3" t="str">
        <f t="shared" si="51"/>
        <v>OR (s.0 &lt;&gt; t.0 OR ( t.0 Is Null AND s.0 Is Not Null) OR ( t.0 Is not Null AND s.0 Is  Null))</v>
      </c>
      <c r="H399" s="9" t="str">
        <f t="shared" si="54"/>
        <v>, t.0 = s.0</v>
      </c>
    </row>
    <row r="400" spans="2:8" x14ac:dyDescent="0.25">
      <c r="B400" s="9">
        <f>'Column Definition'!F406</f>
        <v>0</v>
      </c>
      <c r="C400" s="14" t="str">
        <f>_xlfn.SWITCH(Table4[[#This Row],[Column1]],"int", 0, "Smallint", 0, "tinyint", 0, "Bit", 0, "varchar", "'A'", "nvarchar", "'A'", "char", "'A'", "numeric", 0,"decimal", 0, "date", "'01/01/2000'", "datetime", "'01/01/2000'", "")</f>
        <v/>
      </c>
      <c r="D400" s="9">
        <f>'Column Definition'!C406</f>
        <v>0</v>
      </c>
      <c r="E400" s="9" t="str">
        <f t="shared" si="52"/>
        <v>, 0</v>
      </c>
      <c r="F400" s="9" t="str">
        <f t="shared" si="53"/>
        <v>, s.0</v>
      </c>
      <c r="G400" s="3" t="str">
        <f t="shared" si="51"/>
        <v>OR (s.0 &lt;&gt; t.0 OR ( t.0 Is Null AND s.0 Is Not Null) OR ( t.0 Is not Null AND s.0 Is  Null))</v>
      </c>
      <c r="H400" s="9" t="str">
        <f t="shared" si="54"/>
        <v>, t.0 = s.0</v>
      </c>
    </row>
    <row r="401" spans="2:8" x14ac:dyDescent="0.25">
      <c r="B401" s="9">
        <f>'Column Definition'!F407</f>
        <v>0</v>
      </c>
      <c r="C401" s="14" t="str">
        <f>_xlfn.SWITCH(Table4[[#This Row],[Column1]],"int", 0, "Smallint", 0, "tinyint", 0, "Bit", 0, "varchar", "'A'", "nvarchar", "'A'", "char", "'A'", "numeric", 0,"decimal", 0, "date", "'01/01/2000'", "datetime", "'01/01/2000'", "")</f>
        <v/>
      </c>
      <c r="D401" s="9">
        <f>'Column Definition'!C407</f>
        <v>0</v>
      </c>
      <c r="E401" s="9" t="str">
        <f t="shared" si="52"/>
        <v>, 0</v>
      </c>
      <c r="F401" s="9" t="str">
        <f t="shared" si="53"/>
        <v>, s.0</v>
      </c>
      <c r="G401" s="3" t="str">
        <f t="shared" si="51"/>
        <v>OR (s.0 &lt;&gt; t.0 OR ( t.0 Is Null AND s.0 Is Not Null) OR ( t.0 Is not Null AND s.0 Is  Null))</v>
      </c>
      <c r="H401" s="9" t="str">
        <f t="shared" si="54"/>
        <v>, t.0 = s.0</v>
      </c>
    </row>
    <row r="402" spans="2:8" x14ac:dyDescent="0.25">
      <c r="B402" s="9">
        <f>'Column Definition'!F408</f>
        <v>0</v>
      </c>
      <c r="C402" s="14" t="str">
        <f>_xlfn.SWITCH(Table4[[#This Row],[Column1]],"int", 0, "Smallint", 0, "tinyint", 0, "Bit", 0, "varchar", "'A'", "nvarchar", "'A'", "char", "'A'", "numeric", 0,"decimal", 0, "date", "'01/01/2000'", "datetime", "'01/01/2000'", "")</f>
        <v/>
      </c>
      <c r="D402" s="9">
        <f>'Column Definition'!C408</f>
        <v>0</v>
      </c>
      <c r="E402" s="9" t="str">
        <f t="shared" si="52"/>
        <v>, 0</v>
      </c>
      <c r="F402" s="9" t="str">
        <f t="shared" si="53"/>
        <v>, s.0</v>
      </c>
      <c r="G402" s="3" t="str">
        <f t="shared" si="51"/>
        <v>OR (s.0 &lt;&gt; t.0 OR ( t.0 Is Null AND s.0 Is Not Null) OR ( t.0 Is not Null AND s.0 Is  Null))</v>
      </c>
      <c r="H402" s="9" t="str">
        <f t="shared" si="54"/>
        <v>, t.0 = s.0</v>
      </c>
    </row>
    <row r="403" spans="2:8" x14ac:dyDescent="0.25">
      <c r="B403" s="9">
        <f>'Column Definition'!F409</f>
        <v>0</v>
      </c>
      <c r="C403" s="14" t="str">
        <f>_xlfn.SWITCH(Table4[[#This Row],[Column1]],"int", 0, "Smallint", 0, "tinyint", 0, "Bit", 0, "varchar", "'A'", "nvarchar", "'A'", "char", "'A'", "numeric", 0,"decimal", 0, "date", "'01/01/2000'", "datetime", "'01/01/2000'", "")</f>
        <v/>
      </c>
      <c r="D403" s="9">
        <f>'Column Definition'!C409</f>
        <v>0</v>
      </c>
      <c r="E403" s="9" t="str">
        <f t="shared" si="52"/>
        <v>, 0</v>
      </c>
      <c r="F403" s="9" t="str">
        <f t="shared" si="53"/>
        <v>, s.0</v>
      </c>
      <c r="G403" s="3" t="str">
        <f t="shared" si="51"/>
        <v>OR (s.0 &lt;&gt; t.0 OR ( t.0 Is Null AND s.0 Is Not Null) OR ( t.0 Is not Null AND s.0 Is  Null))</v>
      </c>
      <c r="H403" s="9" t="str">
        <f t="shared" si="54"/>
        <v>, t.0 = s.0</v>
      </c>
    </row>
    <row r="404" spans="2:8" x14ac:dyDescent="0.25">
      <c r="B404" s="9">
        <f>'Column Definition'!F410</f>
        <v>0</v>
      </c>
      <c r="C404" s="14" t="str">
        <f>_xlfn.SWITCH(Table4[[#This Row],[Column1]],"int", 0, "Smallint", 0, "tinyint", 0, "Bit", 0, "varchar", "'A'", "nvarchar", "'A'", "char", "'A'", "numeric", 0,"decimal", 0, "date", "'01/01/2000'", "datetime", "'01/01/2000'", "")</f>
        <v/>
      </c>
      <c r="D404" s="9">
        <f>'Column Definition'!C410</f>
        <v>0</v>
      </c>
      <c r="E404" s="9" t="str">
        <f t="shared" si="52"/>
        <v>, 0</v>
      </c>
      <c r="F404" s="9" t="str">
        <f t="shared" si="53"/>
        <v>, s.0</v>
      </c>
      <c r="G404" s="3" t="str">
        <f t="shared" si="51"/>
        <v>OR (s.0 &lt;&gt; t.0 OR ( t.0 Is Null AND s.0 Is Not Null) OR ( t.0 Is not Null AND s.0 Is  Null))</v>
      </c>
      <c r="H404" s="9" t="str">
        <f t="shared" si="54"/>
        <v>, t.0 = s.0</v>
      </c>
    </row>
    <row r="405" spans="2:8" x14ac:dyDescent="0.25">
      <c r="B405" s="9">
        <f>'Column Definition'!F411</f>
        <v>0</v>
      </c>
      <c r="C405" s="14" t="str">
        <f>_xlfn.SWITCH(Table4[[#This Row],[Column1]],"int", 0, "Smallint", 0, "tinyint", 0, "Bit", 0, "varchar", "'A'", "nvarchar", "'A'", "char", "'A'", "numeric", 0,"decimal", 0, "date", "'01/01/2000'", "datetime", "'01/01/2000'", "")</f>
        <v/>
      </c>
      <c r="D405" s="9">
        <f>'Column Definition'!C411</f>
        <v>0</v>
      </c>
      <c r="E405" s="9" t="str">
        <f t="shared" si="52"/>
        <v>, 0</v>
      </c>
      <c r="F405" s="9" t="str">
        <f t="shared" si="53"/>
        <v>, s.0</v>
      </c>
      <c r="G405" s="3" t="str">
        <f t="shared" si="51"/>
        <v>OR (s.0 &lt;&gt; t.0 OR ( t.0 Is Null AND s.0 Is Not Null) OR ( t.0 Is not Null AND s.0 Is  Null))</v>
      </c>
      <c r="H405" s="9" t="str">
        <f t="shared" si="54"/>
        <v>, t.0 = s.0</v>
      </c>
    </row>
    <row r="406" spans="2:8" x14ac:dyDescent="0.25">
      <c r="B406" s="9">
        <f>'Column Definition'!F412</f>
        <v>0</v>
      </c>
      <c r="C406" s="14" t="str">
        <f>_xlfn.SWITCH(Table4[[#This Row],[Column1]],"int", 0, "Smallint", 0, "tinyint", 0, "Bit", 0, "varchar", "'A'", "nvarchar", "'A'", "char", "'A'", "numeric", 0,"decimal", 0, "date", "'01/01/2000'", "datetime", "'01/01/2000'", "")</f>
        <v/>
      </c>
      <c r="D406" s="9">
        <f>'Column Definition'!C412</f>
        <v>0</v>
      </c>
      <c r="E406" s="9" t="str">
        <f t="shared" si="52"/>
        <v>, 0</v>
      </c>
      <c r="F406" s="9" t="str">
        <f t="shared" si="53"/>
        <v>, s.0</v>
      </c>
      <c r="G406" s="3" t="str">
        <f t="shared" si="51"/>
        <v>OR (s.0 &lt;&gt; t.0 OR ( t.0 Is Null AND s.0 Is Not Null) OR ( t.0 Is not Null AND s.0 Is  Null))</v>
      </c>
      <c r="H406" s="9" t="str">
        <f t="shared" si="54"/>
        <v>, t.0 = s.0</v>
      </c>
    </row>
    <row r="407" spans="2:8" x14ac:dyDescent="0.25">
      <c r="B407" s="9">
        <f>'Column Definition'!F413</f>
        <v>0</v>
      </c>
      <c r="C407" s="14" t="str">
        <f>_xlfn.SWITCH(Table4[[#This Row],[Column1]],"int", 0, "Smallint", 0, "tinyint", 0, "Bit", 0, "varchar", "'A'", "nvarchar", "'A'", "char", "'A'", "numeric", 0,"decimal", 0, "date", "'01/01/2000'", "datetime", "'01/01/2000'", "")</f>
        <v/>
      </c>
      <c r="D407" s="9">
        <f>'Column Definition'!C413</f>
        <v>0</v>
      </c>
      <c r="E407" s="9" t="str">
        <f t="shared" si="52"/>
        <v>, 0</v>
      </c>
      <c r="F407" s="9" t="str">
        <f t="shared" si="53"/>
        <v>, s.0</v>
      </c>
      <c r="G407" s="3" t="str">
        <f t="shared" si="51"/>
        <v>OR (s.0 &lt;&gt; t.0 OR ( t.0 Is Null AND s.0 Is Not Null) OR ( t.0 Is not Null AND s.0 Is  Null))</v>
      </c>
      <c r="H407" s="9" t="str">
        <f t="shared" si="54"/>
        <v>, t.0 = s.0</v>
      </c>
    </row>
    <row r="408" spans="2:8" x14ac:dyDescent="0.25">
      <c r="B408" s="9">
        <f>'Column Definition'!F414</f>
        <v>0</v>
      </c>
      <c r="C408" s="14" t="str">
        <f>_xlfn.SWITCH(Table4[[#This Row],[Column1]],"int", 0, "Smallint", 0, "tinyint", 0, "Bit", 0, "varchar", "'A'", "nvarchar", "'A'", "char", "'A'", "numeric", 0,"decimal", 0, "date", "'01/01/2000'", "datetime", "'01/01/2000'", "")</f>
        <v/>
      </c>
      <c r="D408" s="9">
        <f>'Column Definition'!C414</f>
        <v>0</v>
      </c>
      <c r="E408" s="9" t="str">
        <f t="shared" si="52"/>
        <v>, 0</v>
      </c>
      <c r="F408" s="9" t="str">
        <f t="shared" si="53"/>
        <v>, s.0</v>
      </c>
      <c r="G408" s="3" t="str">
        <f t="shared" si="51"/>
        <v>OR (s.0 &lt;&gt; t.0 OR ( t.0 Is Null AND s.0 Is Not Null) OR ( t.0 Is not Null AND s.0 Is  Null))</v>
      </c>
      <c r="H408" s="9" t="str">
        <f t="shared" si="54"/>
        <v>, t.0 = s.0</v>
      </c>
    </row>
    <row r="409" spans="2:8" x14ac:dyDescent="0.25">
      <c r="B409" s="9">
        <f>'Column Definition'!F415</f>
        <v>0</v>
      </c>
      <c r="C409" s="14" t="str">
        <f>_xlfn.SWITCH(Table4[[#This Row],[Column1]],"int", 0, "Smallint", 0, "tinyint", 0, "Bit", 0, "varchar", "'A'", "nvarchar", "'A'", "char", "'A'", "numeric", 0,"decimal", 0, "date", "'01/01/2000'", "datetime", "'01/01/2000'", "")</f>
        <v/>
      </c>
      <c r="D409" s="9">
        <f>'Column Definition'!C415</f>
        <v>0</v>
      </c>
      <c r="E409" s="9" t="str">
        <f t="shared" si="52"/>
        <v>, 0</v>
      </c>
      <c r="F409" s="9" t="str">
        <f t="shared" si="53"/>
        <v>, s.0</v>
      </c>
      <c r="G409" s="3" t="str">
        <f t="shared" si="51"/>
        <v>OR (s.0 &lt;&gt; t.0 OR ( t.0 Is Null AND s.0 Is Not Null) OR ( t.0 Is not Null AND s.0 Is  Null))</v>
      </c>
      <c r="H409" s="9" t="str">
        <f t="shared" si="54"/>
        <v>, t.0 = s.0</v>
      </c>
    </row>
    <row r="410" spans="2:8" x14ac:dyDescent="0.25">
      <c r="B410" s="9">
        <f>'Column Definition'!F416</f>
        <v>0</v>
      </c>
      <c r="C410" s="14" t="str">
        <f>_xlfn.SWITCH(Table4[[#This Row],[Column1]],"int", 0, "Smallint", 0, "tinyint", 0, "Bit", 0, "varchar", "'A'", "nvarchar", "'A'", "char", "'A'", "numeric", 0,"decimal", 0, "date", "'01/01/2000'", "datetime", "'01/01/2000'", "")</f>
        <v/>
      </c>
      <c r="D410" s="9">
        <f>'Column Definition'!C416</f>
        <v>0</v>
      </c>
      <c r="E410" s="9" t="str">
        <f t="shared" si="52"/>
        <v>, 0</v>
      </c>
      <c r="F410" s="9" t="str">
        <f t="shared" si="53"/>
        <v>, s.0</v>
      </c>
      <c r="G410" s="3" t="str">
        <f t="shared" si="51"/>
        <v>OR (s.0 &lt;&gt; t.0 OR ( t.0 Is Null AND s.0 Is Not Null) OR ( t.0 Is not Null AND s.0 Is  Null))</v>
      </c>
      <c r="H410" s="9" t="str">
        <f t="shared" si="54"/>
        <v>, t.0 = s.0</v>
      </c>
    </row>
    <row r="411" spans="2:8" x14ac:dyDescent="0.25">
      <c r="B411" s="9">
        <f>'Column Definition'!F417</f>
        <v>0</v>
      </c>
      <c r="C411" s="14" t="str">
        <f>_xlfn.SWITCH(Table4[[#This Row],[Column1]],"int", 0, "Smallint", 0, "tinyint", 0, "Bit", 0, "varchar", "'A'", "nvarchar", "'A'", "char", "'A'", "numeric", 0,"decimal", 0, "date", "'01/01/2000'", "datetime", "'01/01/2000'", "")</f>
        <v/>
      </c>
      <c r="D411" s="9">
        <f>'Column Definition'!C417</f>
        <v>0</v>
      </c>
      <c r="E411" s="9" t="str">
        <f t="shared" si="52"/>
        <v>, 0</v>
      </c>
      <c r="F411" s="9" t="str">
        <f t="shared" si="53"/>
        <v>, s.0</v>
      </c>
      <c r="G411" s="3" t="str">
        <f t="shared" si="51"/>
        <v>OR (s.0 &lt;&gt; t.0 OR ( t.0 Is Null AND s.0 Is Not Null) OR ( t.0 Is not Null AND s.0 Is  Null))</v>
      </c>
      <c r="H411" s="9" t="str">
        <f t="shared" si="54"/>
        <v>, t.0 = s.0</v>
      </c>
    </row>
    <row r="412" spans="2:8" x14ac:dyDescent="0.25">
      <c r="B412" s="9">
        <f>'Column Definition'!F418</f>
        <v>0</v>
      </c>
      <c r="C412" s="14" t="str">
        <f>_xlfn.SWITCH(Table4[[#This Row],[Column1]],"int", 0, "Smallint", 0, "tinyint", 0, "Bit", 0, "varchar", "'A'", "nvarchar", "'A'", "char", "'A'", "numeric", 0,"decimal", 0, "date", "'01/01/2000'", "datetime", "'01/01/2000'", "")</f>
        <v/>
      </c>
      <c r="D412" s="9">
        <f>'Column Definition'!C418</f>
        <v>0</v>
      </c>
      <c r="E412" s="9" t="str">
        <f t="shared" si="52"/>
        <v>, 0</v>
      </c>
      <c r="F412" s="9" t="str">
        <f t="shared" si="53"/>
        <v>, s.0</v>
      </c>
      <c r="G412" s="3" t="str">
        <f t="shared" si="51"/>
        <v>OR (s.0 &lt;&gt; t.0 OR ( t.0 Is Null AND s.0 Is Not Null) OR ( t.0 Is not Null AND s.0 Is  Null))</v>
      </c>
      <c r="H412" s="9" t="str">
        <f t="shared" si="54"/>
        <v>, t.0 = s.0</v>
      </c>
    </row>
    <row r="413" spans="2:8" x14ac:dyDescent="0.25">
      <c r="B413" s="9">
        <f>'Column Definition'!F419</f>
        <v>0</v>
      </c>
      <c r="C413" s="14" t="str">
        <f>_xlfn.SWITCH(Table4[[#This Row],[Column1]],"int", 0, "Smallint", 0, "tinyint", 0, "Bit", 0, "varchar", "'A'", "nvarchar", "'A'", "char", "'A'", "numeric", 0,"decimal", 0, "date", "'01/01/2000'", "datetime", "'01/01/2000'", "")</f>
        <v/>
      </c>
      <c r="D413" s="9">
        <f>'Column Definition'!C419</f>
        <v>0</v>
      </c>
      <c r="E413" s="9" t="str">
        <f t="shared" si="52"/>
        <v>, 0</v>
      </c>
      <c r="F413" s="9" t="str">
        <f t="shared" si="53"/>
        <v>, s.0</v>
      </c>
      <c r="G413" s="3" t="str">
        <f t="shared" si="51"/>
        <v>OR (s.0 &lt;&gt; t.0 OR ( t.0 Is Null AND s.0 Is Not Null) OR ( t.0 Is not Null AND s.0 Is  Null))</v>
      </c>
      <c r="H413" s="9" t="str">
        <f t="shared" si="54"/>
        <v>, t.0 = s.0</v>
      </c>
    </row>
    <row r="414" spans="2:8" x14ac:dyDescent="0.25">
      <c r="B414" s="9">
        <f>'Column Definition'!F420</f>
        <v>0</v>
      </c>
      <c r="C414" s="14" t="str">
        <f>_xlfn.SWITCH(Table4[[#This Row],[Column1]],"int", 0, "Smallint", 0, "tinyint", 0, "Bit", 0, "varchar", "'A'", "nvarchar", "'A'", "char", "'A'", "numeric", 0,"decimal", 0, "date", "'01/01/2000'", "datetime", "'01/01/2000'", "")</f>
        <v/>
      </c>
      <c r="D414" s="9">
        <f>'Column Definition'!C420</f>
        <v>0</v>
      </c>
      <c r="E414" s="9" t="str">
        <f t="shared" si="52"/>
        <v>, 0</v>
      </c>
      <c r="F414" s="9" t="str">
        <f t="shared" si="53"/>
        <v>, s.0</v>
      </c>
      <c r="G414" s="3" t="str">
        <f t="shared" si="51"/>
        <v>OR (s.0 &lt;&gt; t.0 OR ( t.0 Is Null AND s.0 Is Not Null) OR ( t.0 Is not Null AND s.0 Is  Null))</v>
      </c>
      <c r="H414" s="9" t="str">
        <f t="shared" si="54"/>
        <v>, t.0 = s.0</v>
      </c>
    </row>
    <row r="415" spans="2:8" x14ac:dyDescent="0.25">
      <c r="B415" s="9">
        <f>'Column Definition'!F421</f>
        <v>0</v>
      </c>
      <c r="C415" s="14" t="str">
        <f>_xlfn.SWITCH(Table4[[#This Row],[Column1]],"int", 0, "Smallint", 0, "tinyint", 0, "Bit", 0, "varchar", "'A'", "nvarchar", "'A'", "char", "'A'", "numeric", 0,"decimal", 0, "date", "'01/01/2000'", "datetime", "'01/01/2000'", "")</f>
        <v/>
      </c>
      <c r="D415" s="9">
        <f>'Column Definition'!C421</f>
        <v>0</v>
      </c>
      <c r="E415" s="9" t="str">
        <f t="shared" si="52"/>
        <v>, 0</v>
      </c>
      <c r="F415" s="9" t="str">
        <f t="shared" si="53"/>
        <v>, s.0</v>
      </c>
      <c r="G415" s="3" t="str">
        <f t="shared" si="51"/>
        <v>OR (s.0 &lt;&gt; t.0 OR ( t.0 Is Null AND s.0 Is Not Null) OR ( t.0 Is not Null AND s.0 Is  Null))</v>
      </c>
      <c r="H415" s="9" t="str">
        <f t="shared" si="54"/>
        <v>, t.0 = s.0</v>
      </c>
    </row>
    <row r="416" spans="2:8" x14ac:dyDescent="0.25">
      <c r="B416" s="9">
        <f>'Column Definition'!F422</f>
        <v>0</v>
      </c>
      <c r="C416" s="14" t="str">
        <f>_xlfn.SWITCH(Table4[[#This Row],[Column1]],"int", 0, "Smallint", 0, "tinyint", 0, "Bit", 0, "varchar", "'A'", "nvarchar", "'A'", "char", "'A'", "numeric", 0,"decimal", 0, "date", "'01/01/2000'", "datetime", "'01/01/2000'", "")</f>
        <v/>
      </c>
      <c r="D416" s="9">
        <f>'Column Definition'!C422</f>
        <v>0</v>
      </c>
      <c r="E416" s="9" t="str">
        <f t="shared" si="52"/>
        <v>, 0</v>
      </c>
      <c r="F416" s="9" t="str">
        <f t="shared" si="53"/>
        <v>, s.0</v>
      </c>
      <c r="G416" s="3" t="str">
        <f t="shared" si="51"/>
        <v>OR (s.0 &lt;&gt; t.0 OR ( t.0 Is Null AND s.0 Is Not Null) OR ( t.0 Is not Null AND s.0 Is  Null))</v>
      </c>
      <c r="H416" s="9" t="str">
        <f t="shared" si="54"/>
        <v>, t.0 = s.0</v>
      </c>
    </row>
    <row r="417" spans="2:8" x14ac:dyDescent="0.25">
      <c r="B417" s="9">
        <f>'Column Definition'!F423</f>
        <v>0</v>
      </c>
      <c r="C417" s="14" t="str">
        <f>_xlfn.SWITCH(Table4[[#This Row],[Column1]],"int", 0, "Smallint", 0, "tinyint", 0, "Bit", 0, "varchar", "'A'", "nvarchar", "'A'", "char", "'A'", "numeric", 0,"decimal", 0, "date", "'01/01/2000'", "datetime", "'01/01/2000'", "")</f>
        <v/>
      </c>
      <c r="D417" s="9">
        <f>'Column Definition'!C423</f>
        <v>0</v>
      </c>
      <c r="E417" s="9" t="str">
        <f t="shared" si="52"/>
        <v>, 0</v>
      </c>
      <c r="F417" s="9" t="str">
        <f t="shared" si="53"/>
        <v>, s.0</v>
      </c>
      <c r="G417" s="3" t="str">
        <f t="shared" si="51"/>
        <v>OR (s.0 &lt;&gt; t.0 OR ( t.0 Is Null AND s.0 Is Not Null) OR ( t.0 Is not Null AND s.0 Is  Null))</v>
      </c>
      <c r="H417" s="9" t="str">
        <f t="shared" si="54"/>
        <v>, t.0 = s.0</v>
      </c>
    </row>
    <row r="418" spans="2:8" x14ac:dyDescent="0.25">
      <c r="B418" s="9">
        <f>'Column Definition'!F424</f>
        <v>0</v>
      </c>
      <c r="C418" s="14" t="str">
        <f>_xlfn.SWITCH(Table4[[#This Row],[Column1]],"int", 0, "Smallint", 0, "tinyint", 0, "Bit", 0, "varchar", "'A'", "nvarchar", "'A'", "char", "'A'", "numeric", 0,"decimal", 0, "date", "'01/01/2000'", "datetime", "'01/01/2000'", "")</f>
        <v/>
      </c>
      <c r="D418" s="9">
        <f>'Column Definition'!C424</f>
        <v>0</v>
      </c>
      <c r="E418" s="9" t="str">
        <f t="shared" si="52"/>
        <v>, 0</v>
      </c>
      <c r="F418" s="9" t="str">
        <f t="shared" si="53"/>
        <v>, s.0</v>
      </c>
      <c r="G418" s="3" t="str">
        <f t="shared" si="51"/>
        <v>OR (s.0 &lt;&gt; t.0 OR ( t.0 Is Null AND s.0 Is Not Null) OR ( t.0 Is not Null AND s.0 Is  Null))</v>
      </c>
      <c r="H418" s="9" t="str">
        <f t="shared" si="54"/>
        <v>, t.0 = s.0</v>
      </c>
    </row>
    <row r="419" spans="2:8" x14ac:dyDescent="0.25">
      <c r="B419" s="9">
        <f>'Column Definition'!F425</f>
        <v>0</v>
      </c>
      <c r="C419" s="14" t="str">
        <f>_xlfn.SWITCH(Table4[[#This Row],[Column1]],"int", 0, "Smallint", 0, "tinyint", 0, "Bit", 0, "varchar", "'A'", "nvarchar", "'A'", "char", "'A'", "numeric", 0,"decimal", 0, "date", "'01/01/2000'", "datetime", "'01/01/2000'", "")</f>
        <v/>
      </c>
      <c r="D419" s="9">
        <f>'Column Definition'!C425</f>
        <v>0</v>
      </c>
      <c r="E419" s="9" t="str">
        <f t="shared" si="52"/>
        <v>, 0</v>
      </c>
      <c r="F419" s="9" t="str">
        <f t="shared" si="53"/>
        <v>, s.0</v>
      </c>
      <c r="G419" s="3" t="str">
        <f t="shared" si="51"/>
        <v>OR (s.0 &lt;&gt; t.0 OR ( t.0 Is Null AND s.0 Is Not Null) OR ( t.0 Is not Null AND s.0 Is  Null))</v>
      </c>
      <c r="H419" s="9" t="str">
        <f t="shared" si="54"/>
        <v>, t.0 = s.0</v>
      </c>
    </row>
    <row r="420" spans="2:8" x14ac:dyDescent="0.25">
      <c r="B420" s="9">
        <f>'Column Definition'!F426</f>
        <v>0</v>
      </c>
      <c r="C420" s="14" t="str">
        <f>_xlfn.SWITCH(Table4[[#This Row],[Column1]],"int", 0, "Smallint", 0, "tinyint", 0, "Bit", 0, "varchar", "'A'", "nvarchar", "'A'", "char", "'A'", "numeric", 0,"decimal", 0, "date", "'01/01/2000'", "datetime", "'01/01/2000'", "")</f>
        <v/>
      </c>
      <c r="D420" s="9">
        <f>'Column Definition'!C426</f>
        <v>0</v>
      </c>
      <c r="E420" s="9" t="str">
        <f t="shared" si="52"/>
        <v>, 0</v>
      </c>
      <c r="F420" s="9" t="str">
        <f t="shared" si="53"/>
        <v>, s.0</v>
      </c>
      <c r="G420" s="3" t="str">
        <f t="shared" si="51"/>
        <v>OR (s.0 &lt;&gt; t.0 OR ( t.0 Is Null AND s.0 Is Not Null) OR ( t.0 Is not Null AND s.0 Is  Null))</v>
      </c>
      <c r="H420" s="9" t="str">
        <f t="shared" si="54"/>
        <v>, t.0 = s.0</v>
      </c>
    </row>
    <row r="421" spans="2:8" x14ac:dyDescent="0.25">
      <c r="B421" s="9">
        <f>'Column Definition'!F427</f>
        <v>0</v>
      </c>
      <c r="C421" s="14" t="str">
        <f>_xlfn.SWITCH(Table4[[#This Row],[Column1]],"int", 0, "Smallint", 0, "tinyint", 0, "Bit", 0, "varchar", "'A'", "nvarchar", "'A'", "char", "'A'", "numeric", 0,"decimal", 0, "date", "'01/01/2000'", "datetime", "'01/01/2000'", "")</f>
        <v/>
      </c>
      <c r="D421" s="9">
        <f>'Column Definition'!C427</f>
        <v>0</v>
      </c>
      <c r="E421" s="9" t="str">
        <f t="shared" si="52"/>
        <v>, 0</v>
      </c>
      <c r="F421" s="9" t="str">
        <f t="shared" si="53"/>
        <v>, s.0</v>
      </c>
      <c r="G421" s="3" t="str">
        <f t="shared" si="51"/>
        <v>OR (s.0 &lt;&gt; t.0 OR ( t.0 Is Null AND s.0 Is Not Null) OR ( t.0 Is not Null AND s.0 Is  Null))</v>
      </c>
      <c r="H421" s="9" t="str">
        <f t="shared" si="54"/>
        <v>, t.0 = s.0</v>
      </c>
    </row>
    <row r="422" spans="2:8" x14ac:dyDescent="0.25">
      <c r="B422" s="9">
        <f>'Column Definition'!F428</f>
        <v>0</v>
      </c>
      <c r="C422" s="14" t="str">
        <f>_xlfn.SWITCH(Table4[[#This Row],[Column1]],"int", 0, "Smallint", 0, "tinyint", 0, "Bit", 0, "varchar", "'A'", "nvarchar", "'A'", "char", "'A'", "numeric", 0,"decimal", 0, "date", "'01/01/2000'", "datetime", "'01/01/2000'", "")</f>
        <v/>
      </c>
      <c r="D422" s="9">
        <f>'Column Definition'!C428</f>
        <v>0</v>
      </c>
      <c r="E422" s="9" t="str">
        <f t="shared" si="52"/>
        <v>, 0</v>
      </c>
      <c r="F422" s="9" t="str">
        <f t="shared" si="53"/>
        <v>, s.0</v>
      </c>
      <c r="G422" s="3" t="str">
        <f t="shared" si="51"/>
        <v>OR (s.0 &lt;&gt; t.0 OR ( t.0 Is Null AND s.0 Is Not Null) OR ( t.0 Is not Null AND s.0 Is  Null))</v>
      </c>
      <c r="H422" s="9" t="str">
        <f t="shared" si="54"/>
        <v>, t.0 = s.0</v>
      </c>
    </row>
    <row r="423" spans="2:8" x14ac:dyDescent="0.25">
      <c r="B423" s="9">
        <f>'Column Definition'!F429</f>
        <v>0</v>
      </c>
      <c r="C423" s="14" t="str">
        <f>_xlfn.SWITCH(Table4[[#This Row],[Column1]],"int", 0, "Smallint", 0, "tinyint", 0, "Bit", 0, "varchar", "'A'", "nvarchar", "'A'", "char", "'A'", "numeric", 0,"decimal", 0, "date", "'01/01/2000'", "datetime", "'01/01/2000'", "")</f>
        <v/>
      </c>
      <c r="D423" s="9">
        <f>'Column Definition'!C429</f>
        <v>0</v>
      </c>
      <c r="E423" s="9" t="str">
        <f t="shared" si="52"/>
        <v>, 0</v>
      </c>
      <c r="F423" s="9" t="str">
        <f t="shared" si="53"/>
        <v>, s.0</v>
      </c>
      <c r="G423" s="3" t="str">
        <f t="shared" si="51"/>
        <v>OR (s.0 &lt;&gt; t.0 OR ( t.0 Is Null AND s.0 Is Not Null) OR ( t.0 Is not Null AND s.0 Is  Null))</v>
      </c>
      <c r="H423" s="9" t="str">
        <f t="shared" si="54"/>
        <v>, t.0 = s.0</v>
      </c>
    </row>
    <row r="424" spans="2:8" x14ac:dyDescent="0.25">
      <c r="B424" s="9">
        <f>'Column Definition'!F430</f>
        <v>0</v>
      </c>
      <c r="C424" s="14" t="str">
        <f>_xlfn.SWITCH(Table4[[#This Row],[Column1]],"int", 0, "Smallint", 0, "tinyint", 0, "Bit", 0, "varchar", "'A'", "nvarchar", "'A'", "char", "'A'", "numeric", 0,"decimal", 0, "date", "'01/01/2000'", "datetime", "'01/01/2000'", "")</f>
        <v/>
      </c>
      <c r="D424" s="9">
        <f>'Column Definition'!C430</f>
        <v>0</v>
      </c>
      <c r="E424" s="9" t="str">
        <f t="shared" si="52"/>
        <v>, 0</v>
      </c>
      <c r="F424" s="9" t="str">
        <f t="shared" si="53"/>
        <v>, s.0</v>
      </c>
      <c r="G424" s="3" t="str">
        <f t="shared" si="51"/>
        <v>OR (s.0 &lt;&gt; t.0 OR ( t.0 Is Null AND s.0 Is Not Null) OR ( t.0 Is not Null AND s.0 Is  Null))</v>
      </c>
      <c r="H424" s="9" t="str">
        <f t="shared" si="54"/>
        <v>, t.0 = s.0</v>
      </c>
    </row>
    <row r="425" spans="2:8" x14ac:dyDescent="0.25">
      <c r="B425" s="9">
        <f>'Column Definition'!F431</f>
        <v>0</v>
      </c>
      <c r="C425" s="14" t="str">
        <f>_xlfn.SWITCH(Table4[[#This Row],[Column1]],"int", 0, "Smallint", 0, "tinyint", 0, "Bit", 0, "varchar", "'A'", "nvarchar", "'A'", "char", "'A'", "numeric", 0,"decimal", 0, "date", "'01/01/2000'", "datetime", "'01/01/2000'", "")</f>
        <v/>
      </c>
      <c r="D425" s="9">
        <f>'Column Definition'!C431</f>
        <v>0</v>
      </c>
      <c r="E425" s="9" t="str">
        <f t="shared" si="52"/>
        <v>, 0</v>
      </c>
      <c r="F425" s="9" t="str">
        <f t="shared" si="53"/>
        <v>, s.0</v>
      </c>
      <c r="G425" s="3" t="str">
        <f t="shared" si="51"/>
        <v>OR (s.0 &lt;&gt; t.0 OR ( t.0 Is Null AND s.0 Is Not Null) OR ( t.0 Is not Null AND s.0 Is  Null))</v>
      </c>
      <c r="H425" s="9" t="str">
        <f t="shared" si="54"/>
        <v>, t.0 = s.0</v>
      </c>
    </row>
    <row r="426" spans="2:8" x14ac:dyDescent="0.25">
      <c r="B426" s="9">
        <f>'Column Definition'!F432</f>
        <v>0</v>
      </c>
      <c r="C426" s="14" t="str">
        <f>_xlfn.SWITCH(Table4[[#This Row],[Column1]],"int", 0, "Smallint", 0, "tinyint", 0, "Bit", 0, "varchar", "'A'", "nvarchar", "'A'", "char", "'A'", "numeric", 0,"decimal", 0, "date", "'01/01/2000'", "datetime", "'01/01/2000'", "")</f>
        <v/>
      </c>
      <c r="D426" s="9">
        <f>'Column Definition'!C432</f>
        <v>0</v>
      </c>
      <c r="E426" s="9" t="str">
        <f t="shared" si="52"/>
        <v>, 0</v>
      </c>
      <c r="F426" s="9" t="str">
        <f t="shared" si="53"/>
        <v>, s.0</v>
      </c>
      <c r="G426" s="3" t="str">
        <f t="shared" si="51"/>
        <v>OR (s.0 &lt;&gt; t.0 OR ( t.0 Is Null AND s.0 Is Not Null) OR ( t.0 Is not Null AND s.0 Is  Null))</v>
      </c>
      <c r="H426" s="9" t="str">
        <f t="shared" si="54"/>
        <v>, t.0 = s.0</v>
      </c>
    </row>
    <row r="427" spans="2:8" x14ac:dyDescent="0.25">
      <c r="B427" s="9">
        <f>'Column Definition'!F433</f>
        <v>0</v>
      </c>
      <c r="C427" s="14" t="str">
        <f>_xlfn.SWITCH(Table4[[#This Row],[Column1]],"int", 0, "Smallint", 0, "tinyint", 0, "Bit", 0, "varchar", "'A'", "nvarchar", "'A'", "char", "'A'", "numeric", 0,"decimal", 0, "date", "'01/01/2000'", "datetime", "'01/01/2000'", "")</f>
        <v/>
      </c>
      <c r="D427" s="9">
        <f>'Column Definition'!C433</f>
        <v>0</v>
      </c>
      <c r="E427" s="9" t="str">
        <f t="shared" si="52"/>
        <v>, 0</v>
      </c>
      <c r="F427" s="9" t="str">
        <f t="shared" si="53"/>
        <v>, s.0</v>
      </c>
      <c r="G427" s="3" t="str">
        <f t="shared" si="51"/>
        <v>OR (s.0 &lt;&gt; t.0 OR ( t.0 Is Null AND s.0 Is Not Null) OR ( t.0 Is not Null AND s.0 Is  Null))</v>
      </c>
      <c r="H427" s="9" t="str">
        <f t="shared" si="54"/>
        <v>, t.0 = s.0</v>
      </c>
    </row>
    <row r="428" spans="2:8" x14ac:dyDescent="0.25">
      <c r="B428" s="9">
        <f>'Column Definition'!F434</f>
        <v>0</v>
      </c>
      <c r="C428" s="14" t="str">
        <f>_xlfn.SWITCH(Table4[[#This Row],[Column1]],"int", 0, "Smallint", 0, "tinyint", 0, "Bit", 0, "varchar", "'A'", "nvarchar", "'A'", "char", "'A'", "numeric", 0,"decimal", 0, "date", "'01/01/2000'", "datetime", "'01/01/2000'", "")</f>
        <v/>
      </c>
      <c r="D428" s="9">
        <f>'Column Definition'!C434</f>
        <v>0</v>
      </c>
      <c r="E428" s="9" t="str">
        <f t="shared" si="52"/>
        <v>, 0</v>
      </c>
      <c r="F428" s="9" t="str">
        <f t="shared" si="53"/>
        <v>, s.0</v>
      </c>
      <c r="G428" s="3" t="str">
        <f t="shared" si="51"/>
        <v>OR (s.0 &lt;&gt; t.0 OR ( t.0 Is Null AND s.0 Is Not Null) OR ( t.0 Is not Null AND s.0 Is  Null))</v>
      </c>
      <c r="H428" s="9" t="str">
        <f t="shared" si="54"/>
        <v>, t.0 = s.0</v>
      </c>
    </row>
    <row r="429" spans="2:8" x14ac:dyDescent="0.25">
      <c r="B429" s="9">
        <f>'Column Definition'!F435</f>
        <v>0</v>
      </c>
      <c r="C429" s="14" t="str">
        <f>_xlfn.SWITCH(Table4[[#This Row],[Column1]],"int", 0, "Smallint", 0, "tinyint", 0, "Bit", 0, "varchar", "'A'", "nvarchar", "'A'", "char", "'A'", "numeric", 0,"decimal", 0, "date", "'01/01/2000'", "datetime", "'01/01/2000'", "")</f>
        <v/>
      </c>
      <c r="D429" s="9">
        <f>'Column Definition'!C435</f>
        <v>0</v>
      </c>
      <c r="E429" s="9" t="str">
        <f t="shared" si="52"/>
        <v>, 0</v>
      </c>
      <c r="F429" s="9" t="str">
        <f t="shared" si="53"/>
        <v>, s.0</v>
      </c>
      <c r="G429" s="3" t="str">
        <f t="shared" si="51"/>
        <v>OR (s.0 &lt;&gt; t.0 OR ( t.0 Is Null AND s.0 Is Not Null) OR ( t.0 Is not Null AND s.0 Is  Null))</v>
      </c>
      <c r="H429" s="9" t="str">
        <f t="shared" si="54"/>
        <v>, t.0 = s.0</v>
      </c>
    </row>
    <row r="430" spans="2:8" x14ac:dyDescent="0.25">
      <c r="B430" s="9">
        <f>'Column Definition'!F436</f>
        <v>0</v>
      </c>
      <c r="C430" s="14" t="str">
        <f>_xlfn.SWITCH(Table4[[#This Row],[Column1]],"int", 0, "Smallint", 0, "tinyint", 0, "Bit", 0, "varchar", "'A'", "nvarchar", "'A'", "char", "'A'", "numeric", 0,"decimal", 0, "date", "'01/01/2000'", "datetime", "'01/01/2000'", "")</f>
        <v/>
      </c>
      <c r="D430" s="9">
        <f>'Column Definition'!C436</f>
        <v>0</v>
      </c>
      <c r="E430" s="9" t="str">
        <f t="shared" si="52"/>
        <v>, 0</v>
      </c>
      <c r="F430" s="9" t="str">
        <f t="shared" si="53"/>
        <v>, s.0</v>
      </c>
      <c r="G430" s="3" t="str">
        <f t="shared" si="51"/>
        <v>OR (s.0 &lt;&gt; t.0 OR ( t.0 Is Null AND s.0 Is Not Null) OR ( t.0 Is not Null AND s.0 Is  Null))</v>
      </c>
      <c r="H430" s="9" t="str">
        <f t="shared" si="54"/>
        <v>, t.0 = s.0</v>
      </c>
    </row>
    <row r="431" spans="2:8" x14ac:dyDescent="0.25">
      <c r="B431" s="9">
        <f>'Column Definition'!F437</f>
        <v>0</v>
      </c>
      <c r="C431" s="14" t="str">
        <f>_xlfn.SWITCH(Table4[[#This Row],[Column1]],"int", 0, "Smallint", 0, "tinyint", 0, "Bit", 0, "varchar", "'A'", "nvarchar", "'A'", "char", "'A'", "numeric", 0,"decimal", 0, "date", "'01/01/2000'", "datetime", "'01/01/2000'", "")</f>
        <v/>
      </c>
      <c r="D431" s="9">
        <f>'Column Definition'!C437</f>
        <v>0</v>
      </c>
      <c r="E431" s="9" t="str">
        <f t="shared" si="52"/>
        <v>, 0</v>
      </c>
      <c r="F431" s="9" t="str">
        <f t="shared" si="53"/>
        <v>, s.0</v>
      </c>
      <c r="G431" s="3" t="str">
        <f t="shared" si="51"/>
        <v>OR (s.0 &lt;&gt; t.0 OR ( t.0 Is Null AND s.0 Is Not Null) OR ( t.0 Is not Null AND s.0 Is  Null))</v>
      </c>
      <c r="H431" s="9" t="str">
        <f t="shared" si="54"/>
        <v>, t.0 = s.0</v>
      </c>
    </row>
    <row r="432" spans="2:8" x14ac:dyDescent="0.25">
      <c r="B432" s="9">
        <f>'Column Definition'!F438</f>
        <v>0</v>
      </c>
      <c r="C432" s="14" t="str">
        <f>_xlfn.SWITCH(Table4[[#This Row],[Column1]],"int", 0, "Smallint", 0, "tinyint", 0, "Bit", 0, "varchar", "'A'", "nvarchar", "'A'", "char", "'A'", "numeric", 0,"decimal", 0, "date", "'01/01/2000'", "datetime", "'01/01/2000'", "")</f>
        <v/>
      </c>
      <c r="D432" s="9">
        <f>'Column Definition'!C438</f>
        <v>0</v>
      </c>
      <c r="E432" s="9" t="str">
        <f t="shared" si="52"/>
        <v>, 0</v>
      </c>
      <c r="F432" s="9" t="str">
        <f t="shared" si="53"/>
        <v>, s.0</v>
      </c>
      <c r="G432" s="3" t="str">
        <f t="shared" si="51"/>
        <v>OR (s.0 &lt;&gt; t.0 OR ( t.0 Is Null AND s.0 Is Not Null) OR ( t.0 Is not Null AND s.0 Is  Null))</v>
      </c>
      <c r="H432" s="9" t="str">
        <f t="shared" si="54"/>
        <v>, t.0 = s.0</v>
      </c>
    </row>
    <row r="433" spans="2:8" x14ac:dyDescent="0.25">
      <c r="B433" s="9">
        <f>'Column Definition'!F439</f>
        <v>0</v>
      </c>
      <c r="C433" s="14" t="str">
        <f>_xlfn.SWITCH(Table4[[#This Row],[Column1]],"int", 0, "Smallint", 0, "tinyint", 0, "Bit", 0, "varchar", "'A'", "nvarchar", "'A'", "char", "'A'", "numeric", 0,"decimal", 0, "date", "'01/01/2000'", "datetime", "'01/01/2000'", "")</f>
        <v/>
      </c>
      <c r="D433" s="9">
        <f>'Column Definition'!C439</f>
        <v>0</v>
      </c>
      <c r="E433" s="9" t="str">
        <f t="shared" si="52"/>
        <v>, 0</v>
      </c>
      <c r="F433" s="9" t="str">
        <f t="shared" si="53"/>
        <v>, s.0</v>
      </c>
      <c r="G433" s="3" t="str">
        <f t="shared" si="51"/>
        <v>OR (s.0 &lt;&gt; t.0 OR ( t.0 Is Null AND s.0 Is Not Null) OR ( t.0 Is not Null AND s.0 Is  Null))</v>
      </c>
      <c r="H433" s="9" t="str">
        <f t="shared" si="54"/>
        <v>, t.0 = s.0</v>
      </c>
    </row>
    <row r="434" spans="2:8" x14ac:dyDescent="0.25">
      <c r="B434" s="9">
        <f>'Column Definition'!F440</f>
        <v>0</v>
      </c>
      <c r="C434" s="14" t="str">
        <f>_xlfn.SWITCH(Table4[[#This Row],[Column1]],"int", 0, "Smallint", 0, "tinyint", 0, "Bit", 0, "varchar", "'A'", "nvarchar", "'A'", "char", "'A'", "numeric", 0,"decimal", 0, "date", "'01/01/2000'", "datetime", "'01/01/2000'", "")</f>
        <v/>
      </c>
      <c r="D434" s="9">
        <f>'Column Definition'!C440</f>
        <v>0</v>
      </c>
      <c r="E434" s="9" t="str">
        <f t="shared" si="52"/>
        <v>, 0</v>
      </c>
      <c r="F434" s="9" t="str">
        <f t="shared" si="53"/>
        <v>, s.0</v>
      </c>
      <c r="G434" s="3" t="str">
        <f t="shared" si="51"/>
        <v>OR (s.0 &lt;&gt; t.0 OR ( t.0 Is Null AND s.0 Is Not Null) OR ( t.0 Is not Null AND s.0 Is  Null))</v>
      </c>
      <c r="H434" s="9" t="str">
        <f t="shared" si="54"/>
        <v>, t.0 = s.0</v>
      </c>
    </row>
    <row r="435" spans="2:8" x14ac:dyDescent="0.25">
      <c r="B435" s="9">
        <f>'Column Definition'!F441</f>
        <v>0</v>
      </c>
      <c r="C435" s="14" t="str">
        <f>_xlfn.SWITCH(Table4[[#This Row],[Column1]],"int", 0, "Smallint", 0, "tinyint", 0, "Bit", 0, "varchar", "'A'", "nvarchar", "'A'", "char", "'A'", "numeric", 0,"decimal", 0, "date", "'01/01/2000'", "datetime", "'01/01/2000'", "")</f>
        <v/>
      </c>
      <c r="D435" s="9">
        <f>'Column Definition'!C441</f>
        <v>0</v>
      </c>
      <c r="E435" s="9" t="str">
        <f t="shared" ref="E435:E470" si="55">", "&amp;D435</f>
        <v>, 0</v>
      </c>
      <c r="F435" s="9" t="str">
        <f t="shared" ref="F435:F470" si="56">", s."&amp;D435</f>
        <v>, s.0</v>
      </c>
      <c r="G435" s="3" t="str">
        <f t="shared" si="51"/>
        <v>OR (s.0 &lt;&gt; t.0 OR ( t.0 Is Null AND s.0 Is Not Null) OR ( t.0 Is not Null AND s.0 Is  Null))</v>
      </c>
      <c r="H435" s="9" t="str">
        <f t="shared" ref="H435:H470" si="57">", t."&amp; D435  &amp; " = s." &amp; D435</f>
        <v>, t.0 = s.0</v>
      </c>
    </row>
    <row r="436" spans="2:8" x14ac:dyDescent="0.25">
      <c r="B436" s="9">
        <f>'Column Definition'!F442</f>
        <v>0</v>
      </c>
      <c r="C436" s="14" t="str">
        <f>_xlfn.SWITCH(Table4[[#This Row],[Column1]],"int", 0, "Smallint", 0, "tinyint", 0, "Bit", 0, "varchar", "'A'", "nvarchar", "'A'", "char", "'A'", "numeric", 0,"decimal", 0, "date", "'01/01/2000'", "datetime", "'01/01/2000'", "")</f>
        <v/>
      </c>
      <c r="D436" s="9">
        <f>'Column Definition'!C442</f>
        <v>0</v>
      </c>
      <c r="E436" s="9" t="str">
        <f t="shared" si="55"/>
        <v>, 0</v>
      </c>
      <c r="F436" s="9" t="str">
        <f t="shared" si="56"/>
        <v>, s.0</v>
      </c>
      <c r="G436" s="3" t="str">
        <f t="shared" si="51"/>
        <v>OR (s.0 &lt;&gt; t.0 OR ( t.0 Is Null AND s.0 Is Not Null) OR ( t.0 Is not Null AND s.0 Is  Null))</v>
      </c>
      <c r="H436" s="9" t="str">
        <f t="shared" si="57"/>
        <v>, t.0 = s.0</v>
      </c>
    </row>
    <row r="437" spans="2:8" x14ac:dyDescent="0.25">
      <c r="B437" s="9">
        <f>'Column Definition'!F443</f>
        <v>0</v>
      </c>
      <c r="C437" s="14" t="str">
        <f>_xlfn.SWITCH(Table4[[#This Row],[Column1]],"int", 0, "Smallint", 0, "tinyint", 0, "Bit", 0, "varchar", "'A'", "nvarchar", "'A'", "char", "'A'", "numeric", 0,"decimal", 0, "date", "'01/01/2000'", "datetime", "'01/01/2000'", "")</f>
        <v/>
      </c>
      <c r="D437" s="9">
        <f>'Column Definition'!C443</f>
        <v>0</v>
      </c>
      <c r="E437" s="9" t="str">
        <f t="shared" si="55"/>
        <v>, 0</v>
      </c>
      <c r="F437" s="9" t="str">
        <f t="shared" si="56"/>
        <v>, s.0</v>
      </c>
      <c r="G437" s="3" t="str">
        <f t="shared" si="51"/>
        <v>OR (s.0 &lt;&gt; t.0 OR ( t.0 Is Null AND s.0 Is Not Null) OR ( t.0 Is not Null AND s.0 Is  Null))</v>
      </c>
      <c r="H437" s="9" t="str">
        <f t="shared" si="57"/>
        <v>, t.0 = s.0</v>
      </c>
    </row>
    <row r="438" spans="2:8" x14ac:dyDescent="0.25">
      <c r="B438" s="9">
        <f>'Column Definition'!F444</f>
        <v>0</v>
      </c>
      <c r="C438" s="14" t="str">
        <f>_xlfn.SWITCH(Table4[[#This Row],[Column1]],"int", 0, "Smallint", 0, "tinyint", 0, "Bit", 0, "varchar", "'A'", "nvarchar", "'A'", "char", "'A'", "numeric", 0,"decimal", 0, "date", "'01/01/2000'", "datetime", "'01/01/2000'", "")</f>
        <v/>
      </c>
      <c r="D438" s="9">
        <f>'Column Definition'!C444</f>
        <v>0</v>
      </c>
      <c r="E438" s="9" t="str">
        <f t="shared" si="55"/>
        <v>, 0</v>
      </c>
      <c r="F438" s="9" t="str">
        <f t="shared" si="56"/>
        <v>, s.0</v>
      </c>
      <c r="G438" s="3" t="str">
        <f t="shared" si="51"/>
        <v>OR (s.0 &lt;&gt; t.0 OR ( t.0 Is Null AND s.0 Is Not Null) OR ( t.0 Is not Null AND s.0 Is  Null))</v>
      </c>
      <c r="H438" s="9" t="str">
        <f t="shared" si="57"/>
        <v>, t.0 = s.0</v>
      </c>
    </row>
    <row r="439" spans="2:8" x14ac:dyDescent="0.25">
      <c r="B439" s="9">
        <f>'Column Definition'!F445</f>
        <v>0</v>
      </c>
      <c r="C439" s="14" t="str">
        <f>_xlfn.SWITCH(Table4[[#This Row],[Column1]],"int", 0, "Smallint", 0, "tinyint", 0, "Bit", 0, "varchar", "'A'", "nvarchar", "'A'", "char", "'A'", "numeric", 0,"decimal", 0, "date", "'01/01/2000'", "datetime", "'01/01/2000'", "")</f>
        <v/>
      </c>
      <c r="D439" s="9">
        <f>'Column Definition'!C445</f>
        <v>0</v>
      </c>
      <c r="E439" s="9" t="str">
        <f t="shared" si="55"/>
        <v>, 0</v>
      </c>
      <c r="F439" s="9" t="str">
        <f t="shared" si="56"/>
        <v>, s.0</v>
      </c>
      <c r="G439" s="3" t="str">
        <f t="shared" si="51"/>
        <v>OR (s.0 &lt;&gt; t.0 OR ( t.0 Is Null AND s.0 Is Not Null) OR ( t.0 Is not Null AND s.0 Is  Null))</v>
      </c>
      <c r="H439" s="9" t="str">
        <f t="shared" si="57"/>
        <v>, t.0 = s.0</v>
      </c>
    </row>
    <row r="440" spans="2:8" x14ac:dyDescent="0.25">
      <c r="B440" s="9">
        <f>'Column Definition'!F446</f>
        <v>0</v>
      </c>
      <c r="C440" s="14" t="str">
        <f>_xlfn.SWITCH(Table4[[#This Row],[Column1]],"int", 0, "Smallint", 0, "tinyint", 0, "Bit", 0, "varchar", "'A'", "nvarchar", "'A'", "char", "'A'", "numeric", 0,"decimal", 0, "date", "'01/01/2000'", "datetime", "'01/01/2000'", "")</f>
        <v/>
      </c>
      <c r="D440" s="9">
        <f>'Column Definition'!C446</f>
        <v>0</v>
      </c>
      <c r="E440" s="9" t="str">
        <f t="shared" si="55"/>
        <v>, 0</v>
      </c>
      <c r="F440" s="9" t="str">
        <f t="shared" si="56"/>
        <v>, s.0</v>
      </c>
      <c r="G440" s="3" t="str">
        <f t="shared" si="51"/>
        <v>OR (s.0 &lt;&gt; t.0 OR ( t.0 Is Null AND s.0 Is Not Null) OR ( t.0 Is not Null AND s.0 Is  Null))</v>
      </c>
      <c r="H440" s="9" t="str">
        <f t="shared" si="57"/>
        <v>, t.0 = s.0</v>
      </c>
    </row>
    <row r="441" spans="2:8" x14ac:dyDescent="0.25">
      <c r="B441" s="9">
        <f>'Column Definition'!F447</f>
        <v>0</v>
      </c>
      <c r="C441" s="14" t="str">
        <f>_xlfn.SWITCH(Table4[[#This Row],[Column1]],"int", 0, "Smallint", 0, "tinyint", 0, "Bit", 0, "varchar", "'A'", "nvarchar", "'A'", "char", "'A'", "numeric", 0,"decimal", 0, "date", "'01/01/2000'", "datetime", "'01/01/2000'", "")</f>
        <v/>
      </c>
      <c r="D441" s="9">
        <f>'Column Definition'!C447</f>
        <v>0</v>
      </c>
      <c r="E441" s="9" t="str">
        <f t="shared" si="55"/>
        <v>, 0</v>
      </c>
      <c r="F441" s="9" t="str">
        <f t="shared" si="56"/>
        <v>, s.0</v>
      </c>
      <c r="G441" s="3" t="str">
        <f t="shared" si="51"/>
        <v>OR (s.0 &lt;&gt; t.0 OR ( t.0 Is Null AND s.0 Is Not Null) OR ( t.0 Is not Null AND s.0 Is  Null))</v>
      </c>
      <c r="H441" s="9" t="str">
        <f t="shared" si="57"/>
        <v>, t.0 = s.0</v>
      </c>
    </row>
    <row r="442" spans="2:8" x14ac:dyDescent="0.25">
      <c r="B442" s="9">
        <f>'Column Definition'!F448</f>
        <v>0</v>
      </c>
      <c r="C442" s="14" t="str">
        <f>_xlfn.SWITCH(Table4[[#This Row],[Column1]],"int", 0, "Smallint", 0, "tinyint", 0, "Bit", 0, "varchar", "'A'", "nvarchar", "'A'", "char", "'A'", "numeric", 0,"decimal", 0, "date", "'01/01/2000'", "datetime", "'01/01/2000'", "")</f>
        <v/>
      </c>
      <c r="D442" s="9">
        <f>'Column Definition'!C448</f>
        <v>0</v>
      </c>
      <c r="E442" s="9" t="str">
        <f t="shared" si="55"/>
        <v>, 0</v>
      </c>
      <c r="F442" s="9" t="str">
        <f t="shared" si="56"/>
        <v>, s.0</v>
      </c>
      <c r="G442" s="3" t="str">
        <f t="shared" si="51"/>
        <v>OR (s.0 &lt;&gt; t.0 OR ( t.0 Is Null AND s.0 Is Not Null) OR ( t.0 Is not Null AND s.0 Is  Null))</v>
      </c>
      <c r="H442" s="9" t="str">
        <f t="shared" si="57"/>
        <v>, t.0 = s.0</v>
      </c>
    </row>
    <row r="443" spans="2:8" x14ac:dyDescent="0.25">
      <c r="B443" s="9">
        <f>'Column Definition'!F449</f>
        <v>0</v>
      </c>
      <c r="C443" s="14" t="str">
        <f>_xlfn.SWITCH(Table4[[#This Row],[Column1]],"int", 0, "Smallint", 0, "tinyint", 0, "Bit", 0, "varchar", "'A'", "nvarchar", "'A'", "char", "'A'", "numeric", 0,"decimal", 0, "date", "'01/01/2000'", "datetime", "'01/01/2000'", "")</f>
        <v/>
      </c>
      <c r="D443" s="9">
        <f>'Column Definition'!C449</f>
        <v>0</v>
      </c>
      <c r="E443" s="9" t="str">
        <f t="shared" si="55"/>
        <v>, 0</v>
      </c>
      <c r="F443" s="9" t="str">
        <f t="shared" si="56"/>
        <v>, s.0</v>
      </c>
      <c r="G443" s="3" t="str">
        <f t="shared" si="51"/>
        <v>OR (s.0 &lt;&gt; t.0 OR ( t.0 Is Null AND s.0 Is Not Null) OR ( t.0 Is not Null AND s.0 Is  Null))</v>
      </c>
      <c r="H443" s="9" t="str">
        <f t="shared" si="57"/>
        <v>, t.0 = s.0</v>
      </c>
    </row>
    <row r="444" spans="2:8" x14ac:dyDescent="0.25">
      <c r="B444" s="9">
        <f>'Column Definition'!F450</f>
        <v>0</v>
      </c>
      <c r="C444" s="14" t="str">
        <f>_xlfn.SWITCH(Table4[[#This Row],[Column1]],"int", 0, "Smallint", 0, "tinyint", 0, "Bit", 0, "varchar", "'A'", "nvarchar", "'A'", "char", "'A'", "numeric", 0,"decimal", 0, "date", "'01/01/2000'", "datetime", "'01/01/2000'", "")</f>
        <v/>
      </c>
      <c r="D444" s="9">
        <f>'Column Definition'!C450</f>
        <v>0</v>
      </c>
      <c r="E444" s="9" t="str">
        <f t="shared" si="55"/>
        <v>, 0</v>
      </c>
      <c r="F444" s="9" t="str">
        <f t="shared" si="56"/>
        <v>, s.0</v>
      </c>
      <c r="G444" s="3" t="str">
        <f t="shared" si="51"/>
        <v>OR (s.0 &lt;&gt; t.0 OR ( t.0 Is Null AND s.0 Is Not Null) OR ( t.0 Is not Null AND s.0 Is  Null))</v>
      </c>
      <c r="H444" s="9" t="str">
        <f t="shared" si="57"/>
        <v>, t.0 = s.0</v>
      </c>
    </row>
    <row r="445" spans="2:8" x14ac:dyDescent="0.25">
      <c r="B445" s="9">
        <f>'Column Definition'!F451</f>
        <v>0</v>
      </c>
      <c r="C445" s="14" t="str">
        <f>_xlfn.SWITCH(Table4[[#This Row],[Column1]],"int", 0, "Smallint", 0, "tinyint", 0, "Bit", 0, "varchar", "'A'", "nvarchar", "'A'", "char", "'A'", "numeric", 0,"decimal", 0, "date", "'01/01/2000'", "datetime", "'01/01/2000'", "")</f>
        <v/>
      </c>
      <c r="D445" s="9">
        <f>'Column Definition'!C451</f>
        <v>0</v>
      </c>
      <c r="E445" s="9" t="str">
        <f t="shared" si="55"/>
        <v>, 0</v>
      </c>
      <c r="F445" s="9" t="str">
        <f t="shared" si="56"/>
        <v>, s.0</v>
      </c>
      <c r="G445" s="3" t="str">
        <f t="shared" si="51"/>
        <v>OR (s.0 &lt;&gt; t.0 OR ( t.0 Is Null AND s.0 Is Not Null) OR ( t.0 Is not Null AND s.0 Is  Null))</v>
      </c>
      <c r="H445" s="9" t="str">
        <f t="shared" si="57"/>
        <v>, t.0 = s.0</v>
      </c>
    </row>
    <row r="446" spans="2:8" x14ac:dyDescent="0.25">
      <c r="B446" s="9">
        <f>'Column Definition'!F452</f>
        <v>0</v>
      </c>
      <c r="C446" s="14" t="str">
        <f>_xlfn.SWITCH(Table4[[#This Row],[Column1]],"int", 0, "Smallint", 0, "tinyint", 0, "Bit", 0, "varchar", "'A'", "nvarchar", "'A'", "char", "'A'", "numeric", 0,"decimal", 0, "date", "'01/01/2000'", "datetime", "'01/01/2000'", "")</f>
        <v/>
      </c>
      <c r="D446" s="9">
        <f>'Column Definition'!C452</f>
        <v>0</v>
      </c>
      <c r="E446" s="9" t="str">
        <f t="shared" si="55"/>
        <v>, 0</v>
      </c>
      <c r="F446" s="9" t="str">
        <f t="shared" si="56"/>
        <v>, s.0</v>
      </c>
      <c r="G446" s="3" t="str">
        <f t="shared" si="51"/>
        <v>OR (s.0 &lt;&gt; t.0 OR ( t.0 Is Null AND s.0 Is Not Null) OR ( t.0 Is not Null AND s.0 Is  Null))</v>
      </c>
      <c r="H446" s="9" t="str">
        <f t="shared" si="57"/>
        <v>, t.0 = s.0</v>
      </c>
    </row>
    <row r="447" spans="2:8" x14ac:dyDescent="0.25">
      <c r="B447" s="9">
        <f>'Column Definition'!F453</f>
        <v>0</v>
      </c>
      <c r="C447" s="14" t="str">
        <f>_xlfn.SWITCH(Table4[[#This Row],[Column1]],"int", 0, "Smallint", 0, "tinyint", 0, "Bit", 0, "varchar", "'A'", "nvarchar", "'A'", "char", "'A'", "numeric", 0,"decimal", 0, "date", "'01/01/2000'", "datetime", "'01/01/2000'", "")</f>
        <v/>
      </c>
      <c r="D447" s="9">
        <f>'Column Definition'!C453</f>
        <v>0</v>
      </c>
      <c r="E447" s="9" t="str">
        <f t="shared" si="55"/>
        <v>, 0</v>
      </c>
      <c r="F447" s="9" t="str">
        <f t="shared" si="56"/>
        <v>, s.0</v>
      </c>
      <c r="G447" s="3" t="str">
        <f t="shared" si="51"/>
        <v>OR (s.0 &lt;&gt; t.0 OR ( t.0 Is Null AND s.0 Is Not Null) OR ( t.0 Is not Null AND s.0 Is  Null))</v>
      </c>
      <c r="H447" s="9" t="str">
        <f t="shared" si="57"/>
        <v>, t.0 = s.0</v>
      </c>
    </row>
    <row r="448" spans="2:8" x14ac:dyDescent="0.25">
      <c r="B448" s="9">
        <f>'Column Definition'!F454</f>
        <v>0</v>
      </c>
      <c r="C448" s="14" t="str">
        <f>_xlfn.SWITCH(Table4[[#This Row],[Column1]],"int", 0, "Smallint", 0, "tinyint", 0, "Bit", 0, "varchar", "'A'", "nvarchar", "'A'", "char", "'A'", "numeric", 0,"decimal", 0, "date", "'01/01/2000'", "datetime", "'01/01/2000'", "")</f>
        <v/>
      </c>
      <c r="D448" s="9">
        <f>'Column Definition'!C454</f>
        <v>0</v>
      </c>
      <c r="E448" s="9" t="str">
        <f t="shared" si="55"/>
        <v>, 0</v>
      </c>
      <c r="F448" s="9" t="str">
        <f t="shared" si="56"/>
        <v>, s.0</v>
      </c>
      <c r="G448" s="3" t="str">
        <f t="shared" si="51"/>
        <v>OR (s.0 &lt;&gt; t.0 OR ( t.0 Is Null AND s.0 Is Not Null) OR ( t.0 Is not Null AND s.0 Is  Null))</v>
      </c>
      <c r="H448" s="9" t="str">
        <f t="shared" si="57"/>
        <v>, t.0 = s.0</v>
      </c>
    </row>
    <row r="449" spans="2:8" x14ac:dyDescent="0.25">
      <c r="B449" s="9">
        <f>'Column Definition'!F455</f>
        <v>0</v>
      </c>
      <c r="C449" s="14" t="str">
        <f>_xlfn.SWITCH(Table4[[#This Row],[Column1]],"int", 0, "Smallint", 0, "tinyint", 0, "Bit", 0, "varchar", "'A'", "nvarchar", "'A'", "char", "'A'", "numeric", 0,"decimal", 0, "date", "'01/01/2000'", "datetime", "'01/01/2000'", "")</f>
        <v/>
      </c>
      <c r="D449" s="9">
        <f>'Column Definition'!C455</f>
        <v>0</v>
      </c>
      <c r="E449" s="9" t="str">
        <f t="shared" si="55"/>
        <v>, 0</v>
      </c>
      <c r="F449" s="9" t="str">
        <f t="shared" si="56"/>
        <v>, s.0</v>
      </c>
      <c r="G449" s="3" t="str">
        <f t="shared" si="51"/>
        <v>OR (s.0 &lt;&gt; t.0 OR ( t.0 Is Null AND s.0 Is Not Null) OR ( t.0 Is not Null AND s.0 Is  Null))</v>
      </c>
      <c r="H449" s="9" t="str">
        <f t="shared" si="57"/>
        <v>, t.0 = s.0</v>
      </c>
    </row>
    <row r="450" spans="2:8" x14ac:dyDescent="0.25">
      <c r="B450" s="9">
        <f>'Column Definition'!F456</f>
        <v>0</v>
      </c>
      <c r="C450" s="14" t="str">
        <f>_xlfn.SWITCH(Table4[[#This Row],[Column1]],"int", 0, "Smallint", 0, "tinyint", 0, "Bit", 0, "varchar", "'A'", "nvarchar", "'A'", "char", "'A'", "numeric", 0,"decimal", 0, "date", "'01/01/2000'", "datetime", "'01/01/2000'", "")</f>
        <v/>
      </c>
      <c r="D450" s="9">
        <f>'Column Definition'!C456</f>
        <v>0</v>
      </c>
      <c r="E450" s="9" t="str">
        <f t="shared" si="55"/>
        <v>, 0</v>
      </c>
      <c r="F450" s="9" t="str">
        <f t="shared" si="56"/>
        <v>, s.0</v>
      </c>
      <c r="G450" s="3" t="str">
        <f t="shared" si="51"/>
        <v>OR (s.0 &lt;&gt; t.0 OR ( t.0 Is Null AND s.0 Is Not Null) OR ( t.0 Is not Null AND s.0 Is  Null))</v>
      </c>
      <c r="H450" s="9" t="str">
        <f t="shared" si="57"/>
        <v>, t.0 = s.0</v>
      </c>
    </row>
    <row r="451" spans="2:8" x14ac:dyDescent="0.25">
      <c r="B451" s="9">
        <f>'Column Definition'!F457</f>
        <v>0</v>
      </c>
      <c r="C451" s="14" t="str">
        <f>_xlfn.SWITCH(Table4[[#This Row],[Column1]],"int", 0, "Smallint", 0, "tinyint", 0, "Bit", 0, "varchar", "'A'", "nvarchar", "'A'", "char", "'A'", "numeric", 0,"decimal", 0, "date", "'01/01/2000'", "datetime", "'01/01/2000'", "")</f>
        <v/>
      </c>
      <c r="D451" s="9">
        <f>'Column Definition'!C457</f>
        <v>0</v>
      </c>
      <c r="E451" s="9" t="str">
        <f t="shared" si="55"/>
        <v>, 0</v>
      </c>
      <c r="F451" s="9" t="str">
        <f t="shared" si="56"/>
        <v>, s.0</v>
      </c>
      <c r="G451" s="3" t="str">
        <f t="shared" si="51"/>
        <v>OR (s.0 &lt;&gt; t.0 OR ( t.0 Is Null AND s.0 Is Not Null) OR ( t.0 Is not Null AND s.0 Is  Null))</v>
      </c>
      <c r="H451" s="9" t="str">
        <f t="shared" si="57"/>
        <v>, t.0 = s.0</v>
      </c>
    </row>
    <row r="452" spans="2:8" x14ac:dyDescent="0.25">
      <c r="B452" s="9">
        <f>'Column Definition'!F458</f>
        <v>0</v>
      </c>
      <c r="C452" s="14" t="str">
        <f>_xlfn.SWITCH(Table4[[#This Row],[Column1]],"int", 0, "Smallint", 0, "tinyint", 0, "Bit", 0, "varchar", "'A'", "nvarchar", "'A'", "char", "'A'", "numeric", 0,"decimal", 0, "date", "'01/01/2000'", "datetime", "'01/01/2000'", "")</f>
        <v/>
      </c>
      <c r="D452" s="9">
        <f>'Column Definition'!C458</f>
        <v>0</v>
      </c>
      <c r="E452" s="9" t="str">
        <f t="shared" si="55"/>
        <v>, 0</v>
      </c>
      <c r="F452" s="9" t="str">
        <f t="shared" si="56"/>
        <v>, s.0</v>
      </c>
      <c r="G452" s="3" t="str">
        <f t="shared" ref="G452:G493" si="58">"OR (s."&amp;D452&amp;" &lt;&gt; t." &amp; D452 &amp; " OR ( t." &amp; D452  &amp; " Is Null AND s." &amp;D452 &amp; " Is Not Null) OR ( t." &amp; D452  &amp; " Is not Null AND s." &amp;D452 &amp; " Is  Null))"</f>
        <v>OR (s.0 &lt;&gt; t.0 OR ( t.0 Is Null AND s.0 Is Not Null) OR ( t.0 Is not Null AND s.0 Is  Null))</v>
      </c>
      <c r="H452" s="9" t="str">
        <f t="shared" si="57"/>
        <v>, t.0 = s.0</v>
      </c>
    </row>
    <row r="453" spans="2:8" x14ac:dyDescent="0.25">
      <c r="B453" s="9">
        <f>'Column Definition'!F459</f>
        <v>0</v>
      </c>
      <c r="C453" s="14" t="str">
        <f>_xlfn.SWITCH(Table4[[#This Row],[Column1]],"int", 0, "Smallint", 0, "tinyint", 0, "Bit", 0, "varchar", "'A'", "nvarchar", "'A'", "char", "'A'", "numeric", 0,"decimal", 0, "date", "'01/01/2000'", "datetime", "'01/01/2000'", "")</f>
        <v/>
      </c>
      <c r="D453" s="9">
        <f>'Column Definition'!C459</f>
        <v>0</v>
      </c>
      <c r="E453" s="9" t="str">
        <f t="shared" si="55"/>
        <v>, 0</v>
      </c>
      <c r="F453" s="9" t="str">
        <f t="shared" si="56"/>
        <v>, s.0</v>
      </c>
      <c r="G453" s="3" t="str">
        <f t="shared" si="58"/>
        <v>OR (s.0 &lt;&gt; t.0 OR ( t.0 Is Null AND s.0 Is Not Null) OR ( t.0 Is not Null AND s.0 Is  Null))</v>
      </c>
      <c r="H453" s="9" t="str">
        <f t="shared" si="57"/>
        <v>, t.0 = s.0</v>
      </c>
    </row>
    <row r="454" spans="2:8" x14ac:dyDescent="0.25">
      <c r="B454" s="9">
        <f>'Column Definition'!F460</f>
        <v>0</v>
      </c>
      <c r="C454" s="14" t="str">
        <f>_xlfn.SWITCH(Table4[[#This Row],[Column1]],"int", 0, "Smallint", 0, "tinyint", 0, "Bit", 0, "varchar", "'A'", "nvarchar", "'A'", "char", "'A'", "numeric", 0,"decimal", 0, "date", "'01/01/2000'", "datetime", "'01/01/2000'", "")</f>
        <v/>
      </c>
      <c r="D454" s="9">
        <f>'Column Definition'!C460</f>
        <v>0</v>
      </c>
      <c r="E454" s="9" t="str">
        <f t="shared" si="55"/>
        <v>, 0</v>
      </c>
      <c r="F454" s="9" t="str">
        <f t="shared" si="56"/>
        <v>, s.0</v>
      </c>
      <c r="G454" s="3" t="str">
        <f t="shared" si="58"/>
        <v>OR (s.0 &lt;&gt; t.0 OR ( t.0 Is Null AND s.0 Is Not Null) OR ( t.0 Is not Null AND s.0 Is  Null))</v>
      </c>
      <c r="H454" s="9" t="str">
        <f t="shared" si="57"/>
        <v>, t.0 = s.0</v>
      </c>
    </row>
    <row r="455" spans="2:8" x14ac:dyDescent="0.25">
      <c r="B455" s="9">
        <f>'Column Definition'!F461</f>
        <v>0</v>
      </c>
      <c r="C455" s="14" t="str">
        <f>_xlfn.SWITCH(Table4[[#This Row],[Column1]],"int", 0, "Smallint", 0, "tinyint", 0, "Bit", 0, "varchar", "'A'", "nvarchar", "'A'", "char", "'A'", "numeric", 0,"decimal", 0, "date", "'01/01/2000'", "datetime", "'01/01/2000'", "")</f>
        <v/>
      </c>
      <c r="D455" s="9">
        <f>'Column Definition'!C461</f>
        <v>0</v>
      </c>
      <c r="E455" s="9" t="str">
        <f t="shared" si="55"/>
        <v>, 0</v>
      </c>
      <c r="F455" s="9" t="str">
        <f t="shared" si="56"/>
        <v>, s.0</v>
      </c>
      <c r="G455" s="3" t="str">
        <f t="shared" si="58"/>
        <v>OR (s.0 &lt;&gt; t.0 OR ( t.0 Is Null AND s.0 Is Not Null) OR ( t.0 Is not Null AND s.0 Is  Null))</v>
      </c>
      <c r="H455" s="9" t="str">
        <f t="shared" si="57"/>
        <v>, t.0 = s.0</v>
      </c>
    </row>
    <row r="456" spans="2:8" x14ac:dyDescent="0.25">
      <c r="B456" s="9">
        <f>'Column Definition'!F462</f>
        <v>0</v>
      </c>
      <c r="C456" s="14" t="str">
        <f>_xlfn.SWITCH(Table4[[#This Row],[Column1]],"int", 0, "Smallint", 0, "tinyint", 0, "Bit", 0, "varchar", "'A'", "nvarchar", "'A'", "char", "'A'", "numeric", 0,"decimal", 0, "date", "'01/01/2000'", "datetime", "'01/01/2000'", "")</f>
        <v/>
      </c>
      <c r="D456" s="9">
        <f>'Column Definition'!C462</f>
        <v>0</v>
      </c>
      <c r="E456" s="9" t="str">
        <f t="shared" si="55"/>
        <v>, 0</v>
      </c>
      <c r="F456" s="9" t="str">
        <f t="shared" si="56"/>
        <v>, s.0</v>
      </c>
      <c r="G456" s="3" t="str">
        <f t="shared" si="58"/>
        <v>OR (s.0 &lt;&gt; t.0 OR ( t.0 Is Null AND s.0 Is Not Null) OR ( t.0 Is not Null AND s.0 Is  Null))</v>
      </c>
      <c r="H456" s="9" t="str">
        <f t="shared" si="57"/>
        <v>, t.0 = s.0</v>
      </c>
    </row>
    <row r="457" spans="2:8" x14ac:dyDescent="0.25">
      <c r="B457" s="9">
        <f>'Column Definition'!F463</f>
        <v>0</v>
      </c>
      <c r="C457" s="14" t="str">
        <f>_xlfn.SWITCH(Table4[[#This Row],[Column1]],"int", 0, "Smallint", 0, "tinyint", 0, "Bit", 0, "varchar", "'A'", "nvarchar", "'A'", "char", "'A'", "numeric", 0,"decimal", 0, "date", "'01/01/2000'", "datetime", "'01/01/2000'", "")</f>
        <v/>
      </c>
      <c r="D457" s="9">
        <f>'Column Definition'!C463</f>
        <v>0</v>
      </c>
      <c r="E457" s="9" t="str">
        <f t="shared" si="55"/>
        <v>, 0</v>
      </c>
      <c r="F457" s="9" t="str">
        <f t="shared" si="56"/>
        <v>, s.0</v>
      </c>
      <c r="G457" s="3" t="str">
        <f t="shared" si="58"/>
        <v>OR (s.0 &lt;&gt; t.0 OR ( t.0 Is Null AND s.0 Is Not Null) OR ( t.0 Is not Null AND s.0 Is  Null))</v>
      </c>
      <c r="H457" s="9" t="str">
        <f t="shared" si="57"/>
        <v>, t.0 = s.0</v>
      </c>
    </row>
    <row r="458" spans="2:8" x14ac:dyDescent="0.25">
      <c r="B458" s="9">
        <f>'Column Definition'!F464</f>
        <v>0</v>
      </c>
      <c r="C458" s="14" t="str">
        <f>_xlfn.SWITCH(Table4[[#This Row],[Column1]],"int", 0, "Smallint", 0, "tinyint", 0, "Bit", 0, "varchar", "'A'", "nvarchar", "'A'", "char", "'A'", "numeric", 0,"decimal", 0, "date", "'01/01/2000'", "datetime", "'01/01/2000'", "")</f>
        <v/>
      </c>
      <c r="D458" s="9">
        <f>'Column Definition'!C464</f>
        <v>0</v>
      </c>
      <c r="E458" s="9" t="str">
        <f t="shared" si="55"/>
        <v>, 0</v>
      </c>
      <c r="F458" s="9" t="str">
        <f t="shared" si="56"/>
        <v>, s.0</v>
      </c>
      <c r="G458" s="3" t="str">
        <f t="shared" si="58"/>
        <v>OR (s.0 &lt;&gt; t.0 OR ( t.0 Is Null AND s.0 Is Not Null) OR ( t.0 Is not Null AND s.0 Is  Null))</v>
      </c>
      <c r="H458" s="9" t="str">
        <f t="shared" si="57"/>
        <v>, t.0 = s.0</v>
      </c>
    </row>
    <row r="459" spans="2:8" x14ac:dyDescent="0.25">
      <c r="B459" s="9">
        <f>'Column Definition'!F465</f>
        <v>0</v>
      </c>
      <c r="C459" s="14" t="str">
        <f>_xlfn.SWITCH(Table4[[#This Row],[Column1]],"int", 0, "Smallint", 0, "tinyint", 0, "Bit", 0, "varchar", "'A'", "nvarchar", "'A'", "char", "'A'", "numeric", 0,"decimal", 0, "date", "'01/01/2000'", "datetime", "'01/01/2000'", "")</f>
        <v/>
      </c>
      <c r="D459" s="9">
        <f>'Column Definition'!C465</f>
        <v>0</v>
      </c>
      <c r="E459" s="9" t="str">
        <f t="shared" si="55"/>
        <v>, 0</v>
      </c>
      <c r="F459" s="9" t="str">
        <f t="shared" si="56"/>
        <v>, s.0</v>
      </c>
      <c r="G459" s="3" t="str">
        <f t="shared" si="58"/>
        <v>OR (s.0 &lt;&gt; t.0 OR ( t.0 Is Null AND s.0 Is Not Null) OR ( t.0 Is not Null AND s.0 Is  Null))</v>
      </c>
      <c r="H459" s="9" t="str">
        <f t="shared" si="57"/>
        <v>, t.0 = s.0</v>
      </c>
    </row>
    <row r="460" spans="2:8" x14ac:dyDescent="0.25">
      <c r="B460" s="9">
        <f>'Column Definition'!F466</f>
        <v>0</v>
      </c>
      <c r="C460" s="14" t="str">
        <f>_xlfn.SWITCH(Table4[[#This Row],[Column1]],"int", 0, "Smallint", 0, "tinyint", 0, "Bit", 0, "varchar", "'A'", "nvarchar", "'A'", "char", "'A'", "numeric", 0,"decimal", 0, "date", "'01/01/2000'", "datetime", "'01/01/2000'", "")</f>
        <v/>
      </c>
      <c r="D460" s="9">
        <f>'Column Definition'!C466</f>
        <v>0</v>
      </c>
      <c r="E460" s="9" t="str">
        <f t="shared" si="55"/>
        <v>, 0</v>
      </c>
      <c r="F460" s="9" t="str">
        <f t="shared" si="56"/>
        <v>, s.0</v>
      </c>
      <c r="G460" s="3" t="str">
        <f t="shared" si="58"/>
        <v>OR (s.0 &lt;&gt; t.0 OR ( t.0 Is Null AND s.0 Is Not Null) OR ( t.0 Is not Null AND s.0 Is  Null))</v>
      </c>
      <c r="H460" s="9" t="str">
        <f t="shared" si="57"/>
        <v>, t.0 = s.0</v>
      </c>
    </row>
    <row r="461" spans="2:8" x14ac:dyDescent="0.25">
      <c r="B461" s="9">
        <f>'Column Definition'!F467</f>
        <v>0</v>
      </c>
      <c r="C461" s="14" t="str">
        <f>_xlfn.SWITCH(Table4[[#This Row],[Column1]],"int", 0, "Smallint", 0, "tinyint", 0, "Bit", 0, "varchar", "'A'", "nvarchar", "'A'", "char", "'A'", "numeric", 0,"decimal", 0, "date", "'01/01/2000'", "datetime", "'01/01/2000'", "")</f>
        <v/>
      </c>
      <c r="D461" s="9">
        <f>'Column Definition'!C467</f>
        <v>0</v>
      </c>
      <c r="E461" s="9" t="str">
        <f t="shared" si="55"/>
        <v>, 0</v>
      </c>
      <c r="F461" s="9" t="str">
        <f t="shared" si="56"/>
        <v>, s.0</v>
      </c>
      <c r="G461" s="3" t="str">
        <f t="shared" si="58"/>
        <v>OR (s.0 &lt;&gt; t.0 OR ( t.0 Is Null AND s.0 Is Not Null) OR ( t.0 Is not Null AND s.0 Is  Null))</v>
      </c>
      <c r="H461" s="9" t="str">
        <f t="shared" si="57"/>
        <v>, t.0 = s.0</v>
      </c>
    </row>
    <row r="462" spans="2:8" x14ac:dyDescent="0.25">
      <c r="B462" s="9">
        <f>'Column Definition'!F468</f>
        <v>0</v>
      </c>
      <c r="C462" s="14" t="str">
        <f>_xlfn.SWITCH(Table4[[#This Row],[Column1]],"int", 0, "Smallint", 0, "tinyint", 0, "Bit", 0, "varchar", "'A'", "nvarchar", "'A'", "char", "'A'", "numeric", 0,"decimal", 0, "date", "'01/01/2000'", "datetime", "'01/01/2000'", "")</f>
        <v/>
      </c>
      <c r="D462" s="9">
        <f>'Column Definition'!C468</f>
        <v>0</v>
      </c>
      <c r="E462" s="9" t="str">
        <f t="shared" si="55"/>
        <v>, 0</v>
      </c>
      <c r="F462" s="9" t="str">
        <f t="shared" si="56"/>
        <v>, s.0</v>
      </c>
      <c r="G462" s="3" t="str">
        <f t="shared" si="58"/>
        <v>OR (s.0 &lt;&gt; t.0 OR ( t.0 Is Null AND s.0 Is Not Null) OR ( t.0 Is not Null AND s.0 Is  Null))</v>
      </c>
      <c r="H462" s="9" t="str">
        <f t="shared" si="57"/>
        <v>, t.0 = s.0</v>
      </c>
    </row>
    <row r="463" spans="2:8" x14ac:dyDescent="0.25">
      <c r="B463" s="9">
        <f>'Column Definition'!F469</f>
        <v>0</v>
      </c>
      <c r="C463" s="14" t="str">
        <f>_xlfn.SWITCH(Table4[[#This Row],[Column1]],"int", 0, "Smallint", 0, "tinyint", 0, "Bit", 0, "varchar", "'A'", "nvarchar", "'A'", "char", "'A'", "numeric", 0,"decimal", 0, "date", "'01/01/2000'", "datetime", "'01/01/2000'", "")</f>
        <v/>
      </c>
      <c r="D463" s="9">
        <f>'Column Definition'!C469</f>
        <v>0</v>
      </c>
      <c r="E463" s="9" t="str">
        <f t="shared" si="55"/>
        <v>, 0</v>
      </c>
      <c r="F463" s="9" t="str">
        <f t="shared" si="56"/>
        <v>, s.0</v>
      </c>
      <c r="G463" s="3" t="str">
        <f t="shared" si="58"/>
        <v>OR (s.0 &lt;&gt; t.0 OR ( t.0 Is Null AND s.0 Is Not Null) OR ( t.0 Is not Null AND s.0 Is  Null))</v>
      </c>
      <c r="H463" s="9" t="str">
        <f t="shared" si="57"/>
        <v>, t.0 = s.0</v>
      </c>
    </row>
    <row r="464" spans="2:8" x14ac:dyDescent="0.25">
      <c r="B464" s="9">
        <f>'Column Definition'!F470</f>
        <v>0</v>
      </c>
      <c r="C464" s="14" t="str">
        <f>_xlfn.SWITCH(Table4[[#This Row],[Column1]],"int", 0, "Smallint", 0, "tinyint", 0, "Bit", 0, "varchar", "'A'", "nvarchar", "'A'", "char", "'A'", "numeric", 0,"decimal", 0, "date", "'01/01/2000'", "datetime", "'01/01/2000'", "")</f>
        <v/>
      </c>
      <c r="D464" s="9">
        <f>'Column Definition'!C470</f>
        <v>0</v>
      </c>
      <c r="E464" s="9" t="str">
        <f t="shared" si="55"/>
        <v>, 0</v>
      </c>
      <c r="F464" s="9" t="str">
        <f t="shared" si="56"/>
        <v>, s.0</v>
      </c>
      <c r="G464" s="3" t="str">
        <f t="shared" si="58"/>
        <v>OR (s.0 &lt;&gt; t.0 OR ( t.0 Is Null AND s.0 Is Not Null) OR ( t.0 Is not Null AND s.0 Is  Null))</v>
      </c>
      <c r="H464" s="9" t="str">
        <f t="shared" si="57"/>
        <v>, t.0 = s.0</v>
      </c>
    </row>
    <row r="465" spans="2:8" x14ac:dyDescent="0.25">
      <c r="B465" s="9">
        <f>'Column Definition'!F471</f>
        <v>0</v>
      </c>
      <c r="C465" s="14" t="str">
        <f>_xlfn.SWITCH(Table4[[#This Row],[Column1]],"int", 0, "Smallint", 0, "tinyint", 0, "Bit", 0, "varchar", "'A'", "nvarchar", "'A'", "char", "'A'", "numeric", 0,"decimal", 0, "date", "'01/01/2000'", "datetime", "'01/01/2000'", "")</f>
        <v/>
      </c>
      <c r="D465" s="9">
        <f>'Column Definition'!C471</f>
        <v>0</v>
      </c>
      <c r="E465" s="9" t="str">
        <f t="shared" si="55"/>
        <v>, 0</v>
      </c>
      <c r="F465" s="9" t="str">
        <f t="shared" si="56"/>
        <v>, s.0</v>
      </c>
      <c r="G465" s="3" t="str">
        <f t="shared" si="58"/>
        <v>OR (s.0 &lt;&gt; t.0 OR ( t.0 Is Null AND s.0 Is Not Null) OR ( t.0 Is not Null AND s.0 Is  Null))</v>
      </c>
      <c r="H465" s="9" t="str">
        <f t="shared" si="57"/>
        <v>, t.0 = s.0</v>
      </c>
    </row>
    <row r="466" spans="2:8" x14ac:dyDescent="0.25">
      <c r="B466" s="9">
        <f>'Column Definition'!F472</f>
        <v>0</v>
      </c>
      <c r="C466" s="14" t="str">
        <f>_xlfn.SWITCH(Table4[[#This Row],[Column1]],"int", 0, "Smallint", 0, "tinyint", 0, "Bit", 0, "varchar", "'A'", "nvarchar", "'A'", "char", "'A'", "numeric", 0,"decimal", 0, "date", "'01/01/2000'", "datetime", "'01/01/2000'", "")</f>
        <v/>
      </c>
      <c r="D466" s="9">
        <f>'Column Definition'!C472</f>
        <v>0</v>
      </c>
      <c r="E466" s="9" t="str">
        <f t="shared" si="55"/>
        <v>, 0</v>
      </c>
      <c r="F466" s="9" t="str">
        <f t="shared" si="56"/>
        <v>, s.0</v>
      </c>
      <c r="G466" s="3" t="str">
        <f t="shared" si="58"/>
        <v>OR (s.0 &lt;&gt; t.0 OR ( t.0 Is Null AND s.0 Is Not Null) OR ( t.0 Is not Null AND s.0 Is  Null))</v>
      </c>
      <c r="H466" s="9" t="str">
        <f t="shared" si="57"/>
        <v>, t.0 = s.0</v>
      </c>
    </row>
    <row r="467" spans="2:8" x14ac:dyDescent="0.25">
      <c r="B467" s="9">
        <f>'Column Definition'!F473</f>
        <v>0</v>
      </c>
      <c r="C467" s="14" t="str">
        <f>_xlfn.SWITCH(Table4[[#This Row],[Column1]],"int", 0, "Smallint", 0, "tinyint", 0, "Bit", 0, "varchar", "'A'", "nvarchar", "'A'", "char", "'A'", "numeric", 0,"decimal", 0, "date", "'01/01/2000'", "datetime", "'01/01/2000'", "")</f>
        <v/>
      </c>
      <c r="D467" s="9">
        <f>'Column Definition'!C473</f>
        <v>0</v>
      </c>
      <c r="E467" s="9" t="str">
        <f t="shared" si="55"/>
        <v>, 0</v>
      </c>
      <c r="F467" s="9" t="str">
        <f t="shared" si="56"/>
        <v>, s.0</v>
      </c>
      <c r="G467" s="3" t="str">
        <f t="shared" si="58"/>
        <v>OR (s.0 &lt;&gt; t.0 OR ( t.0 Is Null AND s.0 Is Not Null) OR ( t.0 Is not Null AND s.0 Is  Null))</v>
      </c>
      <c r="H467" s="9" t="str">
        <f t="shared" si="57"/>
        <v>, t.0 = s.0</v>
      </c>
    </row>
    <row r="468" spans="2:8" x14ac:dyDescent="0.25">
      <c r="B468" s="9">
        <f>'Column Definition'!F474</f>
        <v>0</v>
      </c>
      <c r="C468" s="14" t="str">
        <f>_xlfn.SWITCH(Table4[[#This Row],[Column1]],"int", 0, "Smallint", 0, "tinyint", 0, "Bit", 0, "varchar", "'A'", "nvarchar", "'A'", "char", "'A'", "numeric", 0,"decimal", 0, "date", "'01/01/2000'", "datetime", "'01/01/2000'", "")</f>
        <v/>
      </c>
      <c r="D468" s="9">
        <f>'Column Definition'!C474</f>
        <v>0</v>
      </c>
      <c r="E468" s="9" t="str">
        <f t="shared" si="55"/>
        <v>, 0</v>
      </c>
      <c r="F468" s="9" t="str">
        <f t="shared" si="56"/>
        <v>, s.0</v>
      </c>
      <c r="G468" s="3" t="str">
        <f t="shared" si="58"/>
        <v>OR (s.0 &lt;&gt; t.0 OR ( t.0 Is Null AND s.0 Is Not Null) OR ( t.0 Is not Null AND s.0 Is  Null))</v>
      </c>
      <c r="H468" s="9" t="str">
        <f t="shared" si="57"/>
        <v>, t.0 = s.0</v>
      </c>
    </row>
    <row r="469" spans="2:8" x14ac:dyDescent="0.25">
      <c r="B469" s="9">
        <f>'Column Definition'!F475</f>
        <v>0</v>
      </c>
      <c r="C469" s="14" t="str">
        <f>_xlfn.SWITCH(Table4[[#This Row],[Column1]],"int", 0, "Smallint", 0, "tinyint", 0, "Bit", 0, "varchar", "'A'", "nvarchar", "'A'", "char", "'A'", "numeric", 0,"decimal", 0, "date", "'01/01/2000'", "datetime", "'01/01/2000'", "")</f>
        <v/>
      </c>
      <c r="D469" s="9">
        <f>'Column Definition'!C475</f>
        <v>0</v>
      </c>
      <c r="E469" s="9" t="str">
        <f t="shared" si="55"/>
        <v>, 0</v>
      </c>
      <c r="F469" s="9" t="str">
        <f t="shared" si="56"/>
        <v>, s.0</v>
      </c>
      <c r="G469" s="3" t="str">
        <f t="shared" si="58"/>
        <v>OR (s.0 &lt;&gt; t.0 OR ( t.0 Is Null AND s.0 Is Not Null) OR ( t.0 Is not Null AND s.0 Is  Null))</v>
      </c>
      <c r="H469" s="9" t="str">
        <f t="shared" si="57"/>
        <v>, t.0 = s.0</v>
      </c>
    </row>
    <row r="470" spans="2:8" x14ac:dyDescent="0.25">
      <c r="B470" s="9">
        <f>'Column Definition'!F476</f>
        <v>0</v>
      </c>
      <c r="C470" s="14" t="str">
        <f>_xlfn.SWITCH(Table4[[#This Row],[Column1]],"int", 0, "Smallint", 0, "tinyint", 0, "Bit", 0, "varchar", "'A'", "nvarchar", "'A'", "char", "'A'", "numeric", 0,"decimal", 0, "date", "'01/01/2000'", "datetime", "'01/01/2000'", "")</f>
        <v/>
      </c>
      <c r="D470" s="9">
        <f>'Column Definition'!C476</f>
        <v>0</v>
      </c>
      <c r="E470" s="9" t="str">
        <f t="shared" si="55"/>
        <v>, 0</v>
      </c>
      <c r="F470" s="9" t="str">
        <f t="shared" si="56"/>
        <v>, s.0</v>
      </c>
      <c r="G470" s="3" t="str">
        <f t="shared" si="58"/>
        <v>OR (s.0 &lt;&gt; t.0 OR ( t.0 Is Null AND s.0 Is Not Null) OR ( t.0 Is not Null AND s.0 Is  Null))</v>
      </c>
      <c r="H470" s="9" t="str">
        <f t="shared" si="57"/>
        <v>, t.0 = s.0</v>
      </c>
    </row>
    <row r="471" spans="2:8" x14ac:dyDescent="0.25">
      <c r="B471" s="9">
        <f>'Column Definition'!F477</f>
        <v>0</v>
      </c>
      <c r="C471" s="14" t="str">
        <f>_xlfn.SWITCH(Table4[[#This Row],[Column1]],"int", 0, "Smallint", 0, "tinyint", 0, "Bit", 0, "varchar", "'A'", "nvarchar", "'A'", "char", "'A'", "numeric", 0,"decimal", 0, "date", "'01/01/2000'", "datetime", "'01/01/2000'", "")</f>
        <v/>
      </c>
      <c r="D471" s="9">
        <f>'Column Definition'!C477</f>
        <v>0</v>
      </c>
      <c r="E471" s="9" t="str">
        <f t="shared" ref="E471:E493" si="59">", "&amp;D471</f>
        <v>, 0</v>
      </c>
      <c r="F471" s="9" t="str">
        <f t="shared" ref="F471:F493" si="60">", s."&amp;D471</f>
        <v>, s.0</v>
      </c>
      <c r="G471" s="3" t="str">
        <f t="shared" si="58"/>
        <v>OR (s.0 &lt;&gt; t.0 OR ( t.0 Is Null AND s.0 Is Not Null) OR ( t.0 Is not Null AND s.0 Is  Null))</v>
      </c>
      <c r="H471" s="9" t="str">
        <f t="shared" ref="H471:H493" si="61">", t."&amp; D471  &amp; " = s." &amp; D471</f>
        <v>, t.0 = s.0</v>
      </c>
    </row>
    <row r="472" spans="2:8" x14ac:dyDescent="0.25">
      <c r="B472" s="9">
        <f>'Column Definition'!F478</f>
        <v>0</v>
      </c>
      <c r="C472" s="14" t="str">
        <f>_xlfn.SWITCH(Table4[[#This Row],[Column1]],"int", 0, "Smallint", 0, "tinyint", 0, "Bit", 0, "varchar", "'A'", "nvarchar", "'A'", "char", "'A'", "numeric", 0,"decimal", 0, "date", "'01/01/2000'", "datetime", "'01/01/2000'", "")</f>
        <v/>
      </c>
      <c r="D472" s="9">
        <f>'Column Definition'!C478</f>
        <v>0</v>
      </c>
      <c r="E472" s="9" t="str">
        <f t="shared" si="59"/>
        <v>, 0</v>
      </c>
      <c r="F472" s="9" t="str">
        <f t="shared" si="60"/>
        <v>, s.0</v>
      </c>
      <c r="G472" s="3" t="str">
        <f t="shared" si="58"/>
        <v>OR (s.0 &lt;&gt; t.0 OR ( t.0 Is Null AND s.0 Is Not Null) OR ( t.0 Is not Null AND s.0 Is  Null))</v>
      </c>
      <c r="H472" s="9" t="str">
        <f t="shared" si="61"/>
        <v>, t.0 = s.0</v>
      </c>
    </row>
    <row r="473" spans="2:8" x14ac:dyDescent="0.25">
      <c r="B473" s="9">
        <f>'Column Definition'!F479</f>
        <v>0</v>
      </c>
      <c r="C473" s="14" t="str">
        <f>_xlfn.SWITCH(Table4[[#This Row],[Column1]],"int", 0, "Smallint", 0, "tinyint", 0, "Bit", 0, "varchar", "'A'", "nvarchar", "'A'", "char", "'A'", "numeric", 0,"decimal", 0, "date", "'01/01/2000'", "datetime", "'01/01/2000'", "")</f>
        <v/>
      </c>
      <c r="D473" s="9">
        <f>'Column Definition'!C479</f>
        <v>0</v>
      </c>
      <c r="E473" s="9" t="str">
        <f t="shared" si="59"/>
        <v>, 0</v>
      </c>
      <c r="F473" s="9" t="str">
        <f t="shared" si="60"/>
        <v>, s.0</v>
      </c>
      <c r="G473" s="3" t="str">
        <f t="shared" si="58"/>
        <v>OR (s.0 &lt;&gt; t.0 OR ( t.0 Is Null AND s.0 Is Not Null) OR ( t.0 Is not Null AND s.0 Is  Null))</v>
      </c>
      <c r="H473" s="9" t="str">
        <f t="shared" si="61"/>
        <v>, t.0 = s.0</v>
      </c>
    </row>
    <row r="474" spans="2:8" x14ac:dyDescent="0.25">
      <c r="B474" s="9">
        <f>'Column Definition'!F480</f>
        <v>0</v>
      </c>
      <c r="C474" s="14" t="str">
        <f>_xlfn.SWITCH(Table4[[#This Row],[Column1]],"int", 0, "Smallint", 0, "tinyint", 0, "Bit", 0, "varchar", "'A'", "nvarchar", "'A'", "char", "'A'", "numeric", 0,"decimal", 0, "date", "'01/01/2000'", "datetime", "'01/01/2000'", "")</f>
        <v/>
      </c>
      <c r="D474" s="9">
        <f>'Column Definition'!C480</f>
        <v>0</v>
      </c>
      <c r="E474" s="9" t="str">
        <f t="shared" si="59"/>
        <v>, 0</v>
      </c>
      <c r="F474" s="9" t="str">
        <f t="shared" si="60"/>
        <v>, s.0</v>
      </c>
      <c r="G474" s="3" t="str">
        <f t="shared" si="58"/>
        <v>OR (s.0 &lt;&gt; t.0 OR ( t.0 Is Null AND s.0 Is Not Null) OR ( t.0 Is not Null AND s.0 Is  Null))</v>
      </c>
      <c r="H474" s="9" t="str">
        <f t="shared" si="61"/>
        <v>, t.0 = s.0</v>
      </c>
    </row>
    <row r="475" spans="2:8" x14ac:dyDescent="0.25">
      <c r="B475" s="9">
        <f>'Column Definition'!F481</f>
        <v>0</v>
      </c>
      <c r="C475" s="14" t="str">
        <f>_xlfn.SWITCH(Table4[[#This Row],[Column1]],"int", 0, "Smallint", 0, "tinyint", 0, "Bit", 0, "varchar", "'A'", "nvarchar", "'A'", "char", "'A'", "numeric", 0,"decimal", 0, "date", "'01/01/2000'", "datetime", "'01/01/2000'", "")</f>
        <v/>
      </c>
      <c r="D475" s="9">
        <f>'Column Definition'!C481</f>
        <v>0</v>
      </c>
      <c r="E475" s="9" t="str">
        <f t="shared" si="59"/>
        <v>, 0</v>
      </c>
      <c r="F475" s="9" t="str">
        <f t="shared" si="60"/>
        <v>, s.0</v>
      </c>
      <c r="G475" s="3" t="str">
        <f t="shared" si="58"/>
        <v>OR (s.0 &lt;&gt; t.0 OR ( t.0 Is Null AND s.0 Is Not Null) OR ( t.0 Is not Null AND s.0 Is  Null))</v>
      </c>
      <c r="H475" s="9" t="str">
        <f t="shared" si="61"/>
        <v>, t.0 = s.0</v>
      </c>
    </row>
    <row r="476" spans="2:8" x14ac:dyDescent="0.25">
      <c r="B476" s="9">
        <f>'Column Definition'!F482</f>
        <v>0</v>
      </c>
      <c r="C476" s="14" t="str">
        <f>_xlfn.SWITCH(Table4[[#This Row],[Column1]],"int", 0, "Smallint", 0, "tinyint", 0, "Bit", 0, "varchar", "'A'", "nvarchar", "'A'", "char", "'A'", "numeric", 0,"decimal", 0, "date", "'01/01/2000'", "datetime", "'01/01/2000'", "")</f>
        <v/>
      </c>
      <c r="D476" s="9">
        <f>'Column Definition'!C482</f>
        <v>0</v>
      </c>
      <c r="E476" s="9" t="str">
        <f t="shared" si="59"/>
        <v>, 0</v>
      </c>
      <c r="F476" s="9" t="str">
        <f t="shared" si="60"/>
        <v>, s.0</v>
      </c>
      <c r="G476" s="3" t="str">
        <f t="shared" si="58"/>
        <v>OR (s.0 &lt;&gt; t.0 OR ( t.0 Is Null AND s.0 Is Not Null) OR ( t.0 Is not Null AND s.0 Is  Null))</v>
      </c>
      <c r="H476" s="9" t="str">
        <f t="shared" si="61"/>
        <v>, t.0 = s.0</v>
      </c>
    </row>
    <row r="477" spans="2:8" x14ac:dyDescent="0.25">
      <c r="B477" s="9">
        <f>'Column Definition'!F483</f>
        <v>0</v>
      </c>
      <c r="C477" s="14" t="str">
        <f>_xlfn.SWITCH(Table4[[#This Row],[Column1]],"int", 0, "Smallint", 0, "tinyint", 0, "Bit", 0, "varchar", "'A'", "nvarchar", "'A'", "char", "'A'", "numeric", 0,"decimal", 0, "date", "'01/01/2000'", "datetime", "'01/01/2000'", "")</f>
        <v/>
      </c>
      <c r="D477" s="9">
        <f>'Column Definition'!C483</f>
        <v>0</v>
      </c>
      <c r="E477" s="9" t="str">
        <f t="shared" si="59"/>
        <v>, 0</v>
      </c>
      <c r="F477" s="9" t="str">
        <f t="shared" si="60"/>
        <v>, s.0</v>
      </c>
      <c r="G477" s="3" t="str">
        <f t="shared" si="58"/>
        <v>OR (s.0 &lt;&gt; t.0 OR ( t.0 Is Null AND s.0 Is Not Null) OR ( t.0 Is not Null AND s.0 Is  Null))</v>
      </c>
      <c r="H477" s="9" t="str">
        <f t="shared" si="61"/>
        <v>, t.0 = s.0</v>
      </c>
    </row>
    <row r="478" spans="2:8" x14ac:dyDescent="0.25">
      <c r="B478" s="9">
        <f>'Column Definition'!F484</f>
        <v>0</v>
      </c>
      <c r="C478" s="14" t="str">
        <f>_xlfn.SWITCH(Table4[[#This Row],[Column1]],"int", 0, "Smallint", 0, "tinyint", 0, "Bit", 0, "varchar", "'A'", "nvarchar", "'A'", "char", "'A'", "numeric", 0,"decimal", 0, "date", "'01/01/2000'", "datetime", "'01/01/2000'", "")</f>
        <v/>
      </c>
      <c r="D478" s="9">
        <f>'Column Definition'!C484</f>
        <v>0</v>
      </c>
      <c r="E478" s="9" t="str">
        <f t="shared" si="59"/>
        <v>, 0</v>
      </c>
      <c r="F478" s="9" t="str">
        <f t="shared" si="60"/>
        <v>, s.0</v>
      </c>
      <c r="G478" s="3" t="str">
        <f t="shared" si="58"/>
        <v>OR (s.0 &lt;&gt; t.0 OR ( t.0 Is Null AND s.0 Is Not Null) OR ( t.0 Is not Null AND s.0 Is  Null))</v>
      </c>
      <c r="H478" s="9" t="str">
        <f t="shared" si="61"/>
        <v>, t.0 = s.0</v>
      </c>
    </row>
    <row r="479" spans="2:8" x14ac:dyDescent="0.25">
      <c r="B479" s="9">
        <f>'Column Definition'!F485</f>
        <v>0</v>
      </c>
      <c r="C479" s="14" t="str">
        <f>_xlfn.SWITCH(Table4[[#This Row],[Column1]],"int", 0, "Smallint", 0, "tinyint", 0, "Bit", 0, "varchar", "'A'", "nvarchar", "'A'", "char", "'A'", "numeric", 0,"decimal", 0, "date", "'01/01/2000'", "datetime", "'01/01/2000'", "")</f>
        <v/>
      </c>
      <c r="D479" s="9">
        <f>'Column Definition'!C485</f>
        <v>0</v>
      </c>
      <c r="E479" s="9" t="str">
        <f t="shared" si="59"/>
        <v>, 0</v>
      </c>
      <c r="F479" s="9" t="str">
        <f t="shared" si="60"/>
        <v>, s.0</v>
      </c>
      <c r="G479" s="3" t="str">
        <f t="shared" si="58"/>
        <v>OR (s.0 &lt;&gt; t.0 OR ( t.0 Is Null AND s.0 Is Not Null) OR ( t.0 Is not Null AND s.0 Is  Null))</v>
      </c>
      <c r="H479" s="9" t="str">
        <f t="shared" si="61"/>
        <v>, t.0 = s.0</v>
      </c>
    </row>
    <row r="480" spans="2:8" x14ac:dyDescent="0.25">
      <c r="B480" s="9">
        <f>'Column Definition'!F486</f>
        <v>0</v>
      </c>
      <c r="C480" s="14" t="str">
        <f>_xlfn.SWITCH(Table4[[#This Row],[Column1]],"int", 0, "Smallint", 0, "tinyint", 0, "Bit", 0, "varchar", "'A'", "nvarchar", "'A'", "char", "'A'", "numeric", 0,"decimal", 0, "date", "'01/01/2000'", "datetime", "'01/01/2000'", "")</f>
        <v/>
      </c>
      <c r="D480" s="9">
        <f>'Column Definition'!C486</f>
        <v>0</v>
      </c>
      <c r="E480" s="9" t="str">
        <f t="shared" si="59"/>
        <v>, 0</v>
      </c>
      <c r="F480" s="9" t="str">
        <f t="shared" si="60"/>
        <v>, s.0</v>
      </c>
      <c r="G480" s="3" t="str">
        <f t="shared" si="58"/>
        <v>OR (s.0 &lt;&gt; t.0 OR ( t.0 Is Null AND s.0 Is Not Null) OR ( t.0 Is not Null AND s.0 Is  Null))</v>
      </c>
      <c r="H480" s="9" t="str">
        <f t="shared" si="61"/>
        <v>, t.0 = s.0</v>
      </c>
    </row>
    <row r="481" spans="2:8" x14ac:dyDescent="0.25">
      <c r="B481" s="9">
        <f>'Column Definition'!F487</f>
        <v>0</v>
      </c>
      <c r="C481" s="14" t="str">
        <f>_xlfn.SWITCH(Table4[[#This Row],[Column1]],"int", 0, "Smallint", 0, "tinyint", 0, "Bit", 0, "varchar", "'A'", "nvarchar", "'A'", "char", "'A'", "numeric", 0,"decimal", 0, "date", "'01/01/2000'", "datetime", "'01/01/2000'", "")</f>
        <v/>
      </c>
      <c r="D481" s="9">
        <f>'Column Definition'!C487</f>
        <v>0</v>
      </c>
      <c r="E481" s="9" t="str">
        <f t="shared" si="59"/>
        <v>, 0</v>
      </c>
      <c r="F481" s="9" t="str">
        <f t="shared" si="60"/>
        <v>, s.0</v>
      </c>
      <c r="G481" s="3" t="str">
        <f t="shared" si="58"/>
        <v>OR (s.0 &lt;&gt; t.0 OR ( t.0 Is Null AND s.0 Is Not Null) OR ( t.0 Is not Null AND s.0 Is  Null))</v>
      </c>
      <c r="H481" s="9" t="str">
        <f t="shared" si="61"/>
        <v>, t.0 = s.0</v>
      </c>
    </row>
    <row r="482" spans="2:8" x14ac:dyDescent="0.25">
      <c r="B482" s="9">
        <f>'Column Definition'!F488</f>
        <v>0</v>
      </c>
      <c r="C482" s="14" t="str">
        <f>_xlfn.SWITCH(Table4[[#This Row],[Column1]],"int", 0, "Smallint", 0, "tinyint", 0, "Bit", 0, "varchar", "'A'", "nvarchar", "'A'", "char", "'A'", "numeric", 0,"decimal", 0, "date", "'01/01/2000'", "datetime", "'01/01/2000'", "")</f>
        <v/>
      </c>
      <c r="D482" s="9">
        <f>'Column Definition'!C488</f>
        <v>0</v>
      </c>
      <c r="E482" s="9" t="str">
        <f t="shared" si="59"/>
        <v>, 0</v>
      </c>
      <c r="F482" s="9" t="str">
        <f t="shared" si="60"/>
        <v>, s.0</v>
      </c>
      <c r="G482" s="3" t="str">
        <f t="shared" si="58"/>
        <v>OR (s.0 &lt;&gt; t.0 OR ( t.0 Is Null AND s.0 Is Not Null) OR ( t.0 Is not Null AND s.0 Is  Null))</v>
      </c>
      <c r="H482" s="9" t="str">
        <f t="shared" si="61"/>
        <v>, t.0 = s.0</v>
      </c>
    </row>
    <row r="483" spans="2:8" x14ac:dyDescent="0.25">
      <c r="B483" s="9">
        <f>'Column Definition'!F489</f>
        <v>0</v>
      </c>
      <c r="C483" s="14" t="str">
        <f>_xlfn.SWITCH(Table4[[#This Row],[Column1]],"int", 0, "Smallint", 0, "tinyint", 0, "Bit", 0, "varchar", "'A'", "nvarchar", "'A'", "char", "'A'", "numeric", 0,"decimal", 0, "date", "'01/01/2000'", "datetime", "'01/01/2000'", "")</f>
        <v/>
      </c>
      <c r="D483" s="9">
        <f>'Column Definition'!C489</f>
        <v>0</v>
      </c>
      <c r="E483" s="9" t="str">
        <f t="shared" si="59"/>
        <v>, 0</v>
      </c>
      <c r="F483" s="9" t="str">
        <f t="shared" si="60"/>
        <v>, s.0</v>
      </c>
      <c r="G483" s="3" t="str">
        <f t="shared" si="58"/>
        <v>OR (s.0 &lt;&gt; t.0 OR ( t.0 Is Null AND s.0 Is Not Null) OR ( t.0 Is not Null AND s.0 Is  Null))</v>
      </c>
      <c r="H483" s="9" t="str">
        <f t="shared" si="61"/>
        <v>, t.0 = s.0</v>
      </c>
    </row>
    <row r="484" spans="2:8" x14ac:dyDescent="0.25">
      <c r="B484" s="9">
        <f>'Column Definition'!F490</f>
        <v>0</v>
      </c>
      <c r="C484" s="14" t="str">
        <f>_xlfn.SWITCH(Table4[[#This Row],[Column1]],"int", 0, "Smallint", 0, "tinyint", 0, "Bit", 0, "varchar", "'A'", "nvarchar", "'A'", "char", "'A'", "numeric", 0,"decimal", 0, "date", "'01/01/2000'", "datetime", "'01/01/2000'", "")</f>
        <v/>
      </c>
      <c r="D484" s="9">
        <f>'Column Definition'!C490</f>
        <v>0</v>
      </c>
      <c r="E484" s="9" t="str">
        <f t="shared" si="59"/>
        <v>, 0</v>
      </c>
      <c r="F484" s="9" t="str">
        <f t="shared" si="60"/>
        <v>, s.0</v>
      </c>
      <c r="G484" s="3" t="str">
        <f t="shared" si="58"/>
        <v>OR (s.0 &lt;&gt; t.0 OR ( t.0 Is Null AND s.0 Is Not Null) OR ( t.0 Is not Null AND s.0 Is  Null))</v>
      </c>
      <c r="H484" s="9" t="str">
        <f t="shared" si="61"/>
        <v>, t.0 = s.0</v>
      </c>
    </row>
    <row r="485" spans="2:8" x14ac:dyDescent="0.25">
      <c r="B485" s="9">
        <f>'Column Definition'!F491</f>
        <v>0</v>
      </c>
      <c r="C485" s="14" t="str">
        <f>_xlfn.SWITCH(Table4[[#This Row],[Column1]],"int", 0, "Smallint", 0, "tinyint", 0, "Bit", 0, "varchar", "'A'", "nvarchar", "'A'", "char", "'A'", "numeric", 0,"decimal", 0, "date", "'01/01/2000'", "datetime", "'01/01/2000'", "")</f>
        <v/>
      </c>
      <c r="D485" s="9">
        <f>'Column Definition'!C491</f>
        <v>0</v>
      </c>
      <c r="E485" s="9" t="str">
        <f t="shared" si="59"/>
        <v>, 0</v>
      </c>
      <c r="F485" s="9" t="str">
        <f t="shared" si="60"/>
        <v>, s.0</v>
      </c>
      <c r="G485" s="3" t="str">
        <f t="shared" si="58"/>
        <v>OR (s.0 &lt;&gt; t.0 OR ( t.0 Is Null AND s.0 Is Not Null) OR ( t.0 Is not Null AND s.0 Is  Null))</v>
      </c>
      <c r="H485" s="9" t="str">
        <f t="shared" si="61"/>
        <v>, t.0 = s.0</v>
      </c>
    </row>
    <row r="486" spans="2:8" x14ac:dyDescent="0.25">
      <c r="B486" s="9">
        <f>'Column Definition'!F492</f>
        <v>0</v>
      </c>
      <c r="C486" s="14" t="str">
        <f>_xlfn.SWITCH(Table4[[#This Row],[Column1]],"int", 0, "Smallint", 0, "tinyint", 0, "Bit", 0, "varchar", "'A'", "nvarchar", "'A'", "char", "'A'", "numeric", 0,"decimal", 0, "date", "'01/01/2000'", "datetime", "'01/01/2000'", "")</f>
        <v/>
      </c>
      <c r="D486" s="9">
        <f>'Column Definition'!C492</f>
        <v>0</v>
      </c>
      <c r="E486" s="9" t="str">
        <f t="shared" si="59"/>
        <v>, 0</v>
      </c>
      <c r="F486" s="9" t="str">
        <f t="shared" si="60"/>
        <v>, s.0</v>
      </c>
      <c r="G486" s="3" t="str">
        <f t="shared" si="58"/>
        <v>OR (s.0 &lt;&gt; t.0 OR ( t.0 Is Null AND s.0 Is Not Null) OR ( t.0 Is not Null AND s.0 Is  Null))</v>
      </c>
      <c r="H486" s="9" t="str">
        <f t="shared" si="61"/>
        <v>, t.0 = s.0</v>
      </c>
    </row>
    <row r="487" spans="2:8" x14ac:dyDescent="0.25">
      <c r="B487" s="9">
        <f>'Column Definition'!F493</f>
        <v>0</v>
      </c>
      <c r="C487" s="14" t="str">
        <f>_xlfn.SWITCH(Table4[[#This Row],[Column1]],"int", 0, "Smallint", 0, "tinyint", 0, "Bit", 0, "varchar", "'A'", "nvarchar", "'A'", "char", "'A'", "numeric", 0,"decimal", 0, "date", "'01/01/2000'", "datetime", "'01/01/2000'", "")</f>
        <v/>
      </c>
      <c r="D487" s="9">
        <f>'Column Definition'!C493</f>
        <v>0</v>
      </c>
      <c r="E487" s="9" t="str">
        <f t="shared" si="59"/>
        <v>, 0</v>
      </c>
      <c r="F487" s="9" t="str">
        <f t="shared" si="60"/>
        <v>, s.0</v>
      </c>
      <c r="G487" s="3" t="str">
        <f t="shared" si="58"/>
        <v>OR (s.0 &lt;&gt; t.0 OR ( t.0 Is Null AND s.0 Is Not Null) OR ( t.0 Is not Null AND s.0 Is  Null))</v>
      </c>
      <c r="H487" s="9" t="str">
        <f t="shared" si="61"/>
        <v>, t.0 = s.0</v>
      </c>
    </row>
    <row r="488" spans="2:8" x14ac:dyDescent="0.25">
      <c r="B488" s="9">
        <f>'Column Definition'!F494</f>
        <v>0</v>
      </c>
      <c r="C488" s="14" t="str">
        <f>_xlfn.SWITCH(Table4[[#This Row],[Column1]],"int", 0, "Smallint", 0, "tinyint", 0, "Bit", 0, "varchar", "'A'", "nvarchar", "'A'", "char", "'A'", "numeric", 0,"decimal", 0, "date", "'01/01/2000'", "datetime", "'01/01/2000'", "")</f>
        <v/>
      </c>
      <c r="D488" s="9">
        <f>'Column Definition'!C494</f>
        <v>0</v>
      </c>
      <c r="E488" s="9" t="str">
        <f t="shared" si="59"/>
        <v>, 0</v>
      </c>
      <c r="F488" s="9" t="str">
        <f t="shared" si="60"/>
        <v>, s.0</v>
      </c>
      <c r="G488" s="3" t="str">
        <f t="shared" si="58"/>
        <v>OR (s.0 &lt;&gt; t.0 OR ( t.0 Is Null AND s.0 Is Not Null) OR ( t.0 Is not Null AND s.0 Is  Null))</v>
      </c>
      <c r="H488" s="9" t="str">
        <f t="shared" si="61"/>
        <v>, t.0 = s.0</v>
      </c>
    </row>
    <row r="489" spans="2:8" x14ac:dyDescent="0.25">
      <c r="B489" s="9">
        <f>'Column Definition'!F495</f>
        <v>0</v>
      </c>
      <c r="C489" s="14" t="str">
        <f>_xlfn.SWITCH(Table4[[#This Row],[Column1]],"int", 0, "Smallint", 0, "tinyint", 0, "Bit", 0, "varchar", "'A'", "nvarchar", "'A'", "char", "'A'", "numeric", 0,"decimal", 0, "date", "'01/01/2000'", "datetime", "'01/01/2000'", "")</f>
        <v/>
      </c>
      <c r="D489" s="9">
        <f>'Column Definition'!C495</f>
        <v>0</v>
      </c>
      <c r="E489" s="9" t="str">
        <f t="shared" si="59"/>
        <v>, 0</v>
      </c>
      <c r="F489" s="9" t="str">
        <f t="shared" si="60"/>
        <v>, s.0</v>
      </c>
      <c r="G489" s="3" t="str">
        <f t="shared" si="58"/>
        <v>OR (s.0 &lt;&gt; t.0 OR ( t.0 Is Null AND s.0 Is Not Null) OR ( t.0 Is not Null AND s.0 Is  Null))</v>
      </c>
      <c r="H489" s="9" t="str">
        <f t="shared" si="61"/>
        <v>, t.0 = s.0</v>
      </c>
    </row>
    <row r="490" spans="2:8" x14ac:dyDescent="0.25">
      <c r="B490" s="9">
        <f>'Column Definition'!F496</f>
        <v>0</v>
      </c>
      <c r="C490" s="14" t="str">
        <f>_xlfn.SWITCH(Table4[[#This Row],[Column1]],"int", 0, "Smallint", 0, "tinyint", 0, "Bit", 0, "varchar", "'A'", "nvarchar", "'A'", "char", "'A'", "numeric", 0,"decimal", 0, "date", "'01/01/2000'", "datetime", "'01/01/2000'", "")</f>
        <v/>
      </c>
      <c r="D490" s="9">
        <f>'Column Definition'!C496</f>
        <v>0</v>
      </c>
      <c r="E490" s="9" t="str">
        <f t="shared" si="59"/>
        <v>, 0</v>
      </c>
      <c r="F490" s="9" t="str">
        <f t="shared" si="60"/>
        <v>, s.0</v>
      </c>
      <c r="G490" s="3" t="str">
        <f t="shared" si="58"/>
        <v>OR (s.0 &lt;&gt; t.0 OR ( t.0 Is Null AND s.0 Is Not Null) OR ( t.0 Is not Null AND s.0 Is  Null))</v>
      </c>
      <c r="H490" s="9" t="str">
        <f t="shared" si="61"/>
        <v>, t.0 = s.0</v>
      </c>
    </row>
    <row r="491" spans="2:8" x14ac:dyDescent="0.25">
      <c r="B491" s="9">
        <f>'Column Definition'!F497</f>
        <v>0</v>
      </c>
      <c r="C491" s="14" t="str">
        <f>_xlfn.SWITCH(Table4[[#This Row],[Column1]],"int", 0, "Smallint", 0, "tinyint", 0, "Bit", 0, "varchar", "'A'", "nvarchar", "'A'", "char", "'A'", "numeric", 0,"decimal", 0, "date", "'01/01/2000'", "datetime", "'01/01/2000'", "")</f>
        <v/>
      </c>
      <c r="D491" s="9">
        <f>'Column Definition'!C497</f>
        <v>0</v>
      </c>
      <c r="E491" s="9" t="str">
        <f t="shared" si="59"/>
        <v>, 0</v>
      </c>
      <c r="F491" s="9" t="str">
        <f t="shared" si="60"/>
        <v>, s.0</v>
      </c>
      <c r="G491" s="3" t="str">
        <f t="shared" si="58"/>
        <v>OR (s.0 &lt;&gt; t.0 OR ( t.0 Is Null AND s.0 Is Not Null) OR ( t.0 Is not Null AND s.0 Is  Null))</v>
      </c>
      <c r="H491" s="9" t="str">
        <f t="shared" si="61"/>
        <v>, t.0 = s.0</v>
      </c>
    </row>
    <row r="492" spans="2:8" x14ac:dyDescent="0.25">
      <c r="B492" s="9">
        <f>'Column Definition'!F498</f>
        <v>0</v>
      </c>
      <c r="C492" s="14" t="str">
        <f>_xlfn.SWITCH(Table4[[#This Row],[Column1]],"int", 0, "Smallint", 0, "tinyint", 0, "Bit", 0, "varchar", "'A'", "nvarchar", "'A'", "char", "'A'", "numeric", 0,"decimal", 0, "date", "'01/01/2000'", "datetime", "'01/01/2000'", "")</f>
        <v/>
      </c>
      <c r="D492" s="9">
        <f>'Column Definition'!C498</f>
        <v>0</v>
      </c>
      <c r="E492" s="9" t="str">
        <f t="shared" si="59"/>
        <v>, 0</v>
      </c>
      <c r="F492" s="9" t="str">
        <f t="shared" si="60"/>
        <v>, s.0</v>
      </c>
      <c r="G492" s="3" t="str">
        <f t="shared" si="58"/>
        <v>OR (s.0 &lt;&gt; t.0 OR ( t.0 Is Null AND s.0 Is Not Null) OR ( t.0 Is not Null AND s.0 Is  Null))</v>
      </c>
      <c r="H492" s="9" t="str">
        <f t="shared" si="61"/>
        <v>, t.0 = s.0</v>
      </c>
    </row>
    <row r="493" spans="2:8" x14ac:dyDescent="0.25">
      <c r="B493" s="9">
        <f>'Column Definition'!F499</f>
        <v>0</v>
      </c>
      <c r="C493" s="14" t="str">
        <f>_xlfn.SWITCH(Table4[[#This Row],[Column1]],"int", 0, "Smallint", 0, "tinyint", 0, "Bit", 0, "varchar", "'A'", "nvarchar", "'A'", "char", "'A'", "numeric", 0,"decimal", 0, "date", "'01/01/2000'", "datetime", "'01/01/2000'", "")</f>
        <v/>
      </c>
      <c r="D493" s="9">
        <f>'Column Definition'!C499</f>
        <v>0</v>
      </c>
      <c r="E493" s="9" t="str">
        <f t="shared" si="59"/>
        <v>, 0</v>
      </c>
      <c r="F493" s="9" t="str">
        <f t="shared" si="60"/>
        <v>, s.0</v>
      </c>
      <c r="G493" s="3" t="str">
        <f t="shared" si="58"/>
        <v>OR (s.0 &lt;&gt; t.0 OR ( t.0 Is Null AND s.0 Is Not Null) OR ( t.0 Is not Null AND s.0 Is  Null))</v>
      </c>
      <c r="H493" s="9" t="str">
        <f t="shared" si="61"/>
        <v>, t.0 = s.0</v>
      </c>
    </row>
  </sheetData>
  <phoneticPr fontId="6" type="noConversion"/>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8ECB72-BC45-4BCA-8F06-A963F1F1A85B}">
  <sheetPr codeName="Sheet4"/>
  <dimension ref="A1:C45"/>
  <sheetViews>
    <sheetView workbookViewId="0">
      <selection activeCell="B15" sqref="B15"/>
    </sheetView>
  </sheetViews>
  <sheetFormatPr defaultRowHeight="15" x14ac:dyDescent="0.25"/>
  <cols>
    <col min="1" max="1" width="17.28515625" bestFit="1" customWidth="1"/>
    <col min="2" max="2" width="23.7109375" bestFit="1" customWidth="1"/>
    <col min="3" max="3" width="13.85546875" bestFit="1" customWidth="1"/>
  </cols>
  <sheetData>
    <row r="1" spans="1:3" x14ac:dyDescent="0.25">
      <c r="A1" t="s">
        <v>0</v>
      </c>
      <c r="B1" t="s">
        <v>1</v>
      </c>
      <c r="C1" t="s">
        <v>23</v>
      </c>
    </row>
    <row r="2" spans="1:3" x14ac:dyDescent="0.25">
      <c r="A2" s="1" t="s">
        <v>566</v>
      </c>
      <c r="B2" s="1" t="s">
        <v>569</v>
      </c>
      <c r="C2" s="1" t="s">
        <v>99</v>
      </c>
    </row>
    <row r="3" spans="1:3" x14ac:dyDescent="0.25">
      <c r="A3" s="1" t="s">
        <v>566</v>
      </c>
      <c r="B3" s="1" t="s">
        <v>570</v>
      </c>
      <c r="C3" s="1" t="s">
        <v>99</v>
      </c>
    </row>
    <row r="4" spans="1:3" x14ac:dyDescent="0.25">
      <c r="A4" s="1" t="s">
        <v>566</v>
      </c>
      <c r="B4" s="1" t="s">
        <v>571</v>
      </c>
      <c r="C4" s="1" t="s">
        <v>99</v>
      </c>
    </row>
    <row r="5" spans="1:3" x14ac:dyDescent="0.25">
      <c r="A5" s="1" t="s">
        <v>566</v>
      </c>
      <c r="B5" s="1" t="s">
        <v>572</v>
      </c>
      <c r="C5" s="1" t="s">
        <v>99</v>
      </c>
    </row>
    <row r="6" spans="1:3" x14ac:dyDescent="0.25">
      <c r="A6" s="1" t="s">
        <v>566</v>
      </c>
      <c r="B6" s="1" t="s">
        <v>573</v>
      </c>
      <c r="C6" s="1" t="s">
        <v>99</v>
      </c>
    </row>
    <row r="7" spans="1:3" x14ac:dyDescent="0.25">
      <c r="A7" s="1" t="s">
        <v>566</v>
      </c>
      <c r="B7" s="1" t="s">
        <v>574</v>
      </c>
      <c r="C7" s="1" t="s">
        <v>99</v>
      </c>
    </row>
    <row r="8" spans="1:3" x14ac:dyDescent="0.25">
      <c r="A8" s="1" t="s">
        <v>566</v>
      </c>
      <c r="B8" s="1" t="s">
        <v>575</v>
      </c>
      <c r="C8" s="1" t="s">
        <v>99</v>
      </c>
    </row>
    <row r="9" spans="1:3" x14ac:dyDescent="0.25">
      <c r="A9" s="1" t="s">
        <v>566</v>
      </c>
      <c r="B9" s="1" t="s">
        <v>576</v>
      </c>
      <c r="C9" s="1" t="s">
        <v>99</v>
      </c>
    </row>
    <row r="10" spans="1:3" x14ac:dyDescent="0.25">
      <c r="A10" s="1" t="s">
        <v>566</v>
      </c>
      <c r="B10" s="1" t="s">
        <v>577</v>
      </c>
      <c r="C10" s="1" t="s">
        <v>99</v>
      </c>
    </row>
    <row r="11" spans="1:3" x14ac:dyDescent="0.25">
      <c r="A11" s="1" t="s">
        <v>566</v>
      </c>
      <c r="B11" s="1" t="s">
        <v>578</v>
      </c>
      <c r="C11" s="1" t="s">
        <v>99</v>
      </c>
    </row>
    <row r="12" spans="1:3" x14ac:dyDescent="0.25">
      <c r="A12" s="1" t="s">
        <v>566</v>
      </c>
      <c r="B12" s="1" t="s">
        <v>579</v>
      </c>
      <c r="C12" s="1" t="s">
        <v>99</v>
      </c>
    </row>
    <row r="13" spans="1:3" x14ac:dyDescent="0.25">
      <c r="A13" s="1" t="s">
        <v>566</v>
      </c>
      <c r="B13" s="1" t="s">
        <v>580</v>
      </c>
      <c r="C13" s="1" t="s">
        <v>99</v>
      </c>
    </row>
    <row r="14" spans="1:3" x14ac:dyDescent="0.25">
      <c r="A14" s="1" t="s">
        <v>566</v>
      </c>
      <c r="B14" s="1" t="s">
        <v>581</v>
      </c>
      <c r="C14" s="1" t="s">
        <v>99</v>
      </c>
    </row>
    <row r="15" spans="1:3" x14ac:dyDescent="0.25">
      <c r="A15" s="1" t="s">
        <v>566</v>
      </c>
      <c r="B15" s="1" t="s">
        <v>74</v>
      </c>
      <c r="C15" s="1" t="s">
        <v>99</v>
      </c>
    </row>
    <row r="16" spans="1:3" x14ac:dyDescent="0.25">
      <c r="A16" s="1" t="s">
        <v>566</v>
      </c>
      <c r="B16" s="1" t="s">
        <v>75</v>
      </c>
      <c r="C16" s="1" t="s">
        <v>99</v>
      </c>
    </row>
    <row r="17" spans="1:3" x14ac:dyDescent="0.25">
      <c r="A17" s="1" t="s">
        <v>566</v>
      </c>
      <c r="B17" s="1" t="s">
        <v>582</v>
      </c>
      <c r="C17" s="1" t="s">
        <v>99</v>
      </c>
    </row>
    <row r="18" spans="1:3" x14ac:dyDescent="0.25">
      <c r="A18" s="1" t="s">
        <v>566</v>
      </c>
      <c r="B18" s="1" t="s">
        <v>583</v>
      </c>
      <c r="C18" s="1" t="s">
        <v>99</v>
      </c>
    </row>
    <row r="19" spans="1:3" x14ac:dyDescent="0.25">
      <c r="A19" s="1" t="s">
        <v>566</v>
      </c>
      <c r="B19" s="1" t="s">
        <v>76</v>
      </c>
      <c r="C19" s="1" t="s">
        <v>99</v>
      </c>
    </row>
    <row r="20" spans="1:3" x14ac:dyDescent="0.25">
      <c r="A20" s="1" t="s">
        <v>566</v>
      </c>
      <c r="B20" s="1" t="s">
        <v>584</v>
      </c>
      <c r="C20" s="1" t="s">
        <v>99</v>
      </c>
    </row>
    <row r="21" spans="1:3" x14ac:dyDescent="0.25">
      <c r="A21" s="1" t="s">
        <v>566</v>
      </c>
      <c r="B21" s="1" t="s">
        <v>585</v>
      </c>
      <c r="C21" s="1" t="s">
        <v>99</v>
      </c>
    </row>
    <row r="22" spans="1:3" x14ac:dyDescent="0.25">
      <c r="A22" s="1" t="s">
        <v>566</v>
      </c>
      <c r="B22" s="1" t="s">
        <v>85</v>
      </c>
      <c r="C22" s="1" t="s">
        <v>99</v>
      </c>
    </row>
    <row r="23" spans="1:3" x14ac:dyDescent="0.25">
      <c r="A23" s="1" t="s">
        <v>566</v>
      </c>
      <c r="B23" s="1" t="s">
        <v>586</v>
      </c>
      <c r="C23" s="1" t="s">
        <v>99</v>
      </c>
    </row>
    <row r="24" spans="1:3" x14ac:dyDescent="0.25">
      <c r="A24" s="1" t="s">
        <v>566</v>
      </c>
      <c r="B24" s="1" t="s">
        <v>587</v>
      </c>
      <c r="C24" s="1" t="s">
        <v>99</v>
      </c>
    </row>
    <row r="25" spans="1:3" x14ac:dyDescent="0.25">
      <c r="A25" s="1" t="s">
        <v>566</v>
      </c>
      <c r="B25" s="1" t="s">
        <v>588</v>
      </c>
      <c r="C25" s="1" t="s">
        <v>99</v>
      </c>
    </row>
    <row r="26" spans="1:3" x14ac:dyDescent="0.25">
      <c r="A26" s="1" t="s">
        <v>566</v>
      </c>
      <c r="B26" s="1" t="s">
        <v>78</v>
      </c>
      <c r="C26" s="1" t="s">
        <v>99</v>
      </c>
    </row>
    <row r="27" spans="1:3" x14ac:dyDescent="0.25">
      <c r="A27" s="1" t="s">
        <v>566</v>
      </c>
      <c r="B27" s="1" t="s">
        <v>589</v>
      </c>
      <c r="C27" s="1" t="s">
        <v>99</v>
      </c>
    </row>
    <row r="28" spans="1:3" x14ac:dyDescent="0.25">
      <c r="A28" s="1" t="s">
        <v>566</v>
      </c>
      <c r="B28" s="1" t="s">
        <v>590</v>
      </c>
      <c r="C28" s="1" t="s">
        <v>99</v>
      </c>
    </row>
    <row r="29" spans="1:3" x14ac:dyDescent="0.25">
      <c r="A29" s="1" t="s">
        <v>566</v>
      </c>
      <c r="B29" s="1" t="s">
        <v>81</v>
      </c>
      <c r="C29" s="1" t="s">
        <v>99</v>
      </c>
    </row>
    <row r="30" spans="1:3" x14ac:dyDescent="0.25">
      <c r="A30" s="1" t="s">
        <v>566</v>
      </c>
      <c r="B30" s="1" t="s">
        <v>82</v>
      </c>
      <c r="C30" s="1" t="s">
        <v>99</v>
      </c>
    </row>
    <row r="31" spans="1:3" x14ac:dyDescent="0.25">
      <c r="A31" s="1" t="s">
        <v>566</v>
      </c>
      <c r="B31" s="1" t="s">
        <v>591</v>
      </c>
      <c r="C31" s="1" t="s">
        <v>99</v>
      </c>
    </row>
    <row r="32" spans="1:3" x14ac:dyDescent="0.25">
      <c r="A32" s="1" t="s">
        <v>566</v>
      </c>
      <c r="B32" s="1" t="s">
        <v>592</v>
      </c>
      <c r="C32" s="1" t="s">
        <v>99</v>
      </c>
    </row>
    <row r="33" spans="1:3" x14ac:dyDescent="0.25">
      <c r="A33" s="1" t="s">
        <v>566</v>
      </c>
      <c r="B33" s="1" t="s">
        <v>593</v>
      </c>
      <c r="C33" s="1" t="s">
        <v>594</v>
      </c>
    </row>
    <row r="34" spans="1:3" x14ac:dyDescent="0.25">
      <c r="A34" s="1" t="s">
        <v>566</v>
      </c>
      <c r="B34" s="1" t="s">
        <v>595</v>
      </c>
      <c r="C34" s="1" t="s">
        <v>594</v>
      </c>
    </row>
    <row r="35" spans="1:3" x14ac:dyDescent="0.25">
      <c r="A35" s="1" t="s">
        <v>566</v>
      </c>
      <c r="B35" s="1" t="s">
        <v>596</v>
      </c>
      <c r="C35" s="1" t="s">
        <v>594</v>
      </c>
    </row>
    <row r="36" spans="1:3" x14ac:dyDescent="0.25">
      <c r="A36" s="1" t="s">
        <v>566</v>
      </c>
      <c r="B36" s="1" t="s">
        <v>597</v>
      </c>
      <c r="C36" s="1" t="s">
        <v>594</v>
      </c>
    </row>
    <row r="37" spans="1:3" x14ac:dyDescent="0.25">
      <c r="A37" s="1" t="s">
        <v>566</v>
      </c>
      <c r="B37" s="1" t="s">
        <v>598</v>
      </c>
      <c r="C37" s="1" t="s">
        <v>594</v>
      </c>
    </row>
    <row r="38" spans="1:3" x14ac:dyDescent="0.25">
      <c r="A38" s="1" t="s">
        <v>566</v>
      </c>
      <c r="B38" s="1" t="s">
        <v>599</v>
      </c>
      <c r="C38" s="1" t="s">
        <v>594</v>
      </c>
    </row>
    <row r="39" spans="1:3" x14ac:dyDescent="0.25">
      <c r="A39" s="1" t="s">
        <v>566</v>
      </c>
      <c r="B39" s="1" t="s">
        <v>600</v>
      </c>
      <c r="C39" s="1" t="s">
        <v>594</v>
      </c>
    </row>
    <row r="40" spans="1:3" x14ac:dyDescent="0.25">
      <c r="A40" s="1" t="s">
        <v>566</v>
      </c>
      <c r="B40" s="1" t="s">
        <v>601</v>
      </c>
      <c r="C40" s="1" t="s">
        <v>594</v>
      </c>
    </row>
    <row r="41" spans="1:3" x14ac:dyDescent="0.25">
      <c r="A41" s="1" t="s">
        <v>566</v>
      </c>
      <c r="B41" s="1" t="s">
        <v>602</v>
      </c>
      <c r="C41" s="1" t="s">
        <v>594</v>
      </c>
    </row>
    <row r="42" spans="1:3" x14ac:dyDescent="0.25">
      <c r="A42" s="1" t="s">
        <v>566</v>
      </c>
      <c r="B42" s="1" t="s">
        <v>603</v>
      </c>
      <c r="C42" s="1" t="s">
        <v>594</v>
      </c>
    </row>
    <row r="43" spans="1:3" x14ac:dyDescent="0.25">
      <c r="A43" s="1" t="s">
        <v>566</v>
      </c>
      <c r="B43" s="1" t="s">
        <v>87</v>
      </c>
      <c r="C43" s="1" t="s">
        <v>99</v>
      </c>
    </row>
    <row r="44" spans="1:3" x14ac:dyDescent="0.25">
      <c r="A44" s="1" t="s">
        <v>566</v>
      </c>
      <c r="B44" s="1" t="s">
        <v>604</v>
      </c>
      <c r="C44" s="1" t="s">
        <v>594</v>
      </c>
    </row>
    <row r="45" spans="1:3" x14ac:dyDescent="0.25">
      <c r="A45" s="1" t="s">
        <v>566</v>
      </c>
      <c r="B45" s="1" t="s">
        <v>605</v>
      </c>
      <c r="C45" s="1" t="s">
        <v>99</v>
      </c>
    </row>
  </sheetData>
  <pageMargins left="0.7" right="0.7" top="0.75" bottom="0.75" header="0.3" footer="0.3"/>
  <pageSetup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B14824-70D2-42CC-AD9D-B82A269DF606}">
  <sheetPr codeName="Sheet2"/>
  <dimension ref="A1:A20"/>
  <sheetViews>
    <sheetView workbookViewId="0">
      <selection activeCell="A4" sqref="A4"/>
    </sheetView>
  </sheetViews>
  <sheetFormatPr defaultRowHeight="15" x14ac:dyDescent="0.25"/>
  <cols>
    <col min="1" max="1" width="19.7109375" bestFit="1" customWidth="1"/>
  </cols>
  <sheetData>
    <row r="1" spans="1:1" x14ac:dyDescent="0.25">
      <c r="A1" t="s">
        <v>24</v>
      </c>
    </row>
    <row r="2" spans="1:1" x14ac:dyDescent="0.25">
      <c r="A2" s="1" t="s">
        <v>25</v>
      </c>
    </row>
    <row r="3" spans="1:1" x14ac:dyDescent="0.25">
      <c r="A3" s="1" t="s">
        <v>41</v>
      </c>
    </row>
    <row r="4" spans="1:1" x14ac:dyDescent="0.25">
      <c r="A4" s="1" t="s">
        <v>42</v>
      </c>
    </row>
    <row r="5" spans="1:1" x14ac:dyDescent="0.25">
      <c r="A5" s="1" t="s">
        <v>43</v>
      </c>
    </row>
    <row r="6" spans="1:1" x14ac:dyDescent="0.25">
      <c r="A6" s="1" t="s">
        <v>222</v>
      </c>
    </row>
    <row r="7" spans="1:1" x14ac:dyDescent="0.25">
      <c r="A7" s="1" t="s">
        <v>223</v>
      </c>
    </row>
    <row r="8" spans="1:1" x14ac:dyDescent="0.25">
      <c r="A8" s="1" t="s">
        <v>224</v>
      </c>
    </row>
    <row r="9" spans="1:1" x14ac:dyDescent="0.25">
      <c r="A9" s="1" t="s">
        <v>225</v>
      </c>
    </row>
    <row r="10" spans="1:1" x14ac:dyDescent="0.25">
      <c r="A10" s="1" t="s">
        <v>226</v>
      </c>
    </row>
    <row r="11" spans="1:1" x14ac:dyDescent="0.25">
      <c r="A11" s="1" t="s">
        <v>545</v>
      </c>
    </row>
    <row r="12" spans="1:1" x14ac:dyDescent="0.25">
      <c r="A12" s="1" t="s">
        <v>227</v>
      </c>
    </row>
    <row r="13" spans="1:1" x14ac:dyDescent="0.25">
      <c r="A13" s="1" t="s">
        <v>228</v>
      </c>
    </row>
    <row r="14" spans="1:1" x14ac:dyDescent="0.25">
      <c r="A14" s="1" t="s">
        <v>98</v>
      </c>
    </row>
    <row r="15" spans="1:1" x14ac:dyDescent="0.25">
      <c r="A15" s="1" t="s">
        <v>504</v>
      </c>
    </row>
    <row r="16" spans="1:1" x14ac:dyDescent="0.25">
      <c r="A16" s="1" t="s">
        <v>541</v>
      </c>
    </row>
    <row r="17" spans="1:1" x14ac:dyDescent="0.25">
      <c r="A17" s="1" t="s">
        <v>542</v>
      </c>
    </row>
    <row r="18" spans="1:1" x14ac:dyDescent="0.25">
      <c r="A18" s="1" t="s">
        <v>543</v>
      </c>
    </row>
    <row r="19" spans="1:1" x14ac:dyDescent="0.25">
      <c r="A19" s="1" t="s">
        <v>546</v>
      </c>
    </row>
    <row r="20" spans="1:1" x14ac:dyDescent="0.25">
      <c r="A20" s="1" t="s">
        <v>544</v>
      </c>
    </row>
  </sheetData>
  <pageMargins left="0.7" right="0.7" top="0.75" bottom="0.75" header="0.3" footer="0.3"/>
  <pageSetup orientation="portrait"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EA997A-76B6-43F3-A3B5-43ADDB84A646}">
  <sheetPr codeName="Sheet3"/>
  <dimension ref="A1:A23"/>
  <sheetViews>
    <sheetView workbookViewId="0">
      <selection activeCell="A2" sqref="A2"/>
    </sheetView>
  </sheetViews>
  <sheetFormatPr defaultRowHeight="15" x14ac:dyDescent="0.25"/>
  <cols>
    <col min="1" max="1" width="17.28515625" bestFit="1" customWidth="1"/>
  </cols>
  <sheetData>
    <row r="1" spans="1:1" x14ac:dyDescent="0.25">
      <c r="A1" t="s">
        <v>0</v>
      </c>
    </row>
    <row r="2" spans="1:1" x14ac:dyDescent="0.25">
      <c r="A2" s="1" t="s">
        <v>547</v>
      </c>
    </row>
    <row r="3" spans="1:1" x14ac:dyDescent="0.25">
      <c r="A3" s="1" t="s">
        <v>548</v>
      </c>
    </row>
    <row r="4" spans="1:1" x14ac:dyDescent="0.25">
      <c r="A4" s="1" t="s">
        <v>549</v>
      </c>
    </row>
    <row r="5" spans="1:1" x14ac:dyDescent="0.25">
      <c r="A5" s="1" t="s">
        <v>44</v>
      </c>
    </row>
    <row r="6" spans="1:1" x14ac:dyDescent="0.25">
      <c r="A6" s="1" t="s">
        <v>550</v>
      </c>
    </row>
    <row r="7" spans="1:1" x14ac:dyDescent="0.25">
      <c r="A7" s="1" t="s">
        <v>551</v>
      </c>
    </row>
    <row r="8" spans="1:1" x14ac:dyDescent="0.25">
      <c r="A8" s="1" t="s">
        <v>552</v>
      </c>
    </row>
    <row r="9" spans="1:1" x14ac:dyDescent="0.25">
      <c r="A9" s="1" t="s">
        <v>553</v>
      </c>
    </row>
    <row r="10" spans="1:1" x14ac:dyDescent="0.25">
      <c r="A10" s="1" t="s">
        <v>554</v>
      </c>
    </row>
    <row r="11" spans="1:1" x14ac:dyDescent="0.25">
      <c r="A11" s="1" t="s">
        <v>555</v>
      </c>
    </row>
    <row r="12" spans="1:1" x14ac:dyDescent="0.25">
      <c r="A12" s="1" t="s">
        <v>556</v>
      </c>
    </row>
    <row r="13" spans="1:1" x14ac:dyDescent="0.25">
      <c r="A13" s="1" t="s">
        <v>557</v>
      </c>
    </row>
    <row r="14" spans="1:1" x14ac:dyDescent="0.25">
      <c r="A14" s="1" t="s">
        <v>558</v>
      </c>
    </row>
    <row r="15" spans="1:1" x14ac:dyDescent="0.25">
      <c r="A15" s="1" t="s">
        <v>559</v>
      </c>
    </row>
    <row r="16" spans="1:1" x14ac:dyDescent="0.25">
      <c r="A16" s="1" t="s">
        <v>560</v>
      </c>
    </row>
    <row r="17" spans="1:1" x14ac:dyDescent="0.25">
      <c r="A17" s="1" t="s">
        <v>561</v>
      </c>
    </row>
    <row r="18" spans="1:1" x14ac:dyDescent="0.25">
      <c r="A18" s="1" t="s">
        <v>562</v>
      </c>
    </row>
    <row r="19" spans="1:1" x14ac:dyDescent="0.25">
      <c r="A19" s="1" t="s">
        <v>563</v>
      </c>
    </row>
    <row r="20" spans="1:1" x14ac:dyDescent="0.25">
      <c r="A20" s="1" t="s">
        <v>564</v>
      </c>
    </row>
    <row r="21" spans="1:1" x14ac:dyDescent="0.25">
      <c r="A21" s="1" t="s">
        <v>565</v>
      </c>
    </row>
    <row r="22" spans="1:1" x14ac:dyDescent="0.25">
      <c r="A22" s="1" t="s">
        <v>566</v>
      </c>
    </row>
    <row r="23" spans="1:1" x14ac:dyDescent="0.25">
      <c r="A23" s="1" t="s">
        <v>567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646117-68FB-48CA-85D7-1B7170CEE3D5}">
  <sheetPr codeName="Sheet8"/>
  <dimension ref="A1:O29"/>
  <sheetViews>
    <sheetView workbookViewId="0">
      <selection activeCell="D2" sqref="D2"/>
    </sheetView>
  </sheetViews>
  <sheetFormatPr defaultRowHeight="15" x14ac:dyDescent="0.25"/>
  <cols>
    <col min="1" max="1" width="17.7109375" customWidth="1"/>
    <col min="2" max="2" width="17.140625" customWidth="1"/>
    <col min="3" max="3" width="24.140625" customWidth="1"/>
    <col min="6" max="6" width="9.140625" customWidth="1"/>
  </cols>
  <sheetData>
    <row r="1" spans="1:15" x14ac:dyDescent="0.25">
      <c r="A1" s="12" t="s">
        <v>96</v>
      </c>
      <c r="B1" s="13" t="str">
        <f>'Column Definition'!B4&amp;"."&amp;'Column Definition'!B5</f>
        <v>vs.CompanyStep2</v>
      </c>
    </row>
    <row r="2" spans="1:15" x14ac:dyDescent="0.25">
      <c r="A2" s="12" t="s">
        <v>97</v>
      </c>
      <c r="B2" s="13" t="s">
        <v>503</v>
      </c>
    </row>
    <row r="5" spans="1:15" x14ac:dyDescent="0.25">
      <c r="A5" s="10" t="str">
        <f>"ALTER TABLE " &amp; TableName</f>
        <v>ALTER TABLE vs.CompanyStep2</v>
      </c>
      <c r="B5" s="10"/>
      <c r="C5" s="10"/>
      <c r="D5" s="10"/>
      <c r="E5" s="10"/>
      <c r="G5" s="11" t="s">
        <v>4110</v>
      </c>
      <c r="H5" s="10"/>
      <c r="I5" s="10"/>
      <c r="J5" s="10"/>
      <c r="K5" s="10"/>
      <c r="L5" s="10"/>
      <c r="M5" s="10"/>
      <c r="N5" s="10"/>
      <c r="O5" s="10"/>
    </row>
    <row r="6" spans="1:15" x14ac:dyDescent="0.25">
      <c r="A6" s="10" t="s">
        <v>35</v>
      </c>
      <c r="B6" s="10"/>
      <c r="C6" s="10"/>
      <c r="D6" s="10"/>
      <c r="E6" s="10"/>
    </row>
    <row r="7" spans="1:15" x14ac:dyDescent="0.25">
      <c r="A7" s="10" t="s">
        <v>36</v>
      </c>
      <c r="B7" s="10"/>
      <c r="C7" s="10"/>
      <c r="D7" s="10"/>
      <c r="E7" s="10"/>
    </row>
    <row r="8" spans="1:15" x14ac:dyDescent="0.25">
      <c r="A8" s="10" t="s">
        <v>37</v>
      </c>
      <c r="B8" s="10"/>
      <c r="C8" s="10"/>
      <c r="D8" s="10"/>
      <c r="E8" s="10"/>
    </row>
    <row r="9" spans="1:15" x14ac:dyDescent="0.25">
      <c r="A9" s="10" t="s">
        <v>38</v>
      </c>
      <c r="B9" s="10"/>
      <c r="C9" s="10"/>
      <c r="D9" s="10"/>
      <c r="E9" s="10"/>
    </row>
    <row r="10" spans="1:15" x14ac:dyDescent="0.25">
      <c r="A10" s="10" t="s">
        <v>39</v>
      </c>
      <c r="B10" s="10"/>
      <c r="C10" s="10"/>
      <c r="D10" s="10"/>
      <c r="E10" s="10"/>
    </row>
    <row r="11" spans="1:15" x14ac:dyDescent="0.25">
      <c r="A11" s="10" t="s">
        <v>40</v>
      </c>
      <c r="B11" s="10"/>
      <c r="C11" s="10"/>
      <c r="D11" s="10"/>
      <c r="E11" s="10"/>
    </row>
    <row r="12" spans="1:15" x14ac:dyDescent="0.25">
      <c r="A12" s="10"/>
      <c r="B12" s="10"/>
      <c r="C12" s="10"/>
      <c r="D12" s="10"/>
      <c r="E12" s="10"/>
    </row>
    <row r="13" spans="1:15" x14ac:dyDescent="0.25">
      <c r="A13" s="10" t="str">
        <f>"ALTER TABLE " &amp; TableName &amp;" ADD CONSTRAINT"</f>
        <v>ALTER TABLE vs.CompanyStep2 ADD CONSTRAINT</v>
      </c>
      <c r="B13" s="10"/>
      <c r="C13" s="10"/>
      <c r="D13" s="10"/>
      <c r="E13" s="10"/>
    </row>
    <row r="14" spans="1:15" x14ac:dyDescent="0.25">
      <c r="A14" s="10" t="str">
        <f>"DF_"&amp;SUBSTITUTE(TableName, ".", "_",1)&amp;"_T_CreatedDate DEFAULT getdate() FOR T_CreatedDate"</f>
        <v>DF_vs_CompanyStep2_T_CreatedDate DEFAULT getdate() FOR T_CreatedDate</v>
      </c>
      <c r="B14" s="10"/>
      <c r="C14" s="10"/>
      <c r="D14" s="10"/>
      <c r="E14" s="10"/>
    </row>
    <row r="15" spans="1:15" x14ac:dyDescent="0.25">
      <c r="A15" s="10"/>
      <c r="B15" s="10"/>
      <c r="C15" s="10"/>
      <c r="D15" s="10"/>
      <c r="E15" s="10"/>
    </row>
    <row r="16" spans="1:15" x14ac:dyDescent="0.25">
      <c r="A16" s="10" t="s">
        <v>40</v>
      </c>
      <c r="B16" s="10"/>
      <c r="C16" s="10"/>
      <c r="D16" s="10"/>
      <c r="E16" s="10"/>
    </row>
    <row r="17" spans="1:5" x14ac:dyDescent="0.25">
      <c r="A17" s="10"/>
      <c r="B17" s="10"/>
      <c r="C17" s="10"/>
      <c r="D17" s="10"/>
      <c r="E17" s="10"/>
    </row>
    <row r="18" spans="1:5" x14ac:dyDescent="0.25">
      <c r="A18" s="10" t="str">
        <f>"CREATE TRIGGER  "&amp; TableName &amp;"ModDate"</f>
        <v>CREATE TRIGGER  vs.CompanyStep2ModDate</v>
      </c>
      <c r="B18" s="10"/>
      <c r="C18" s="10"/>
      <c r="D18" s="10"/>
      <c r="E18" s="10"/>
    </row>
    <row r="19" spans="1:5" x14ac:dyDescent="0.25">
      <c r="A19" s="10" t="str">
        <f>"    ON " &amp; TableName</f>
        <v xml:space="preserve">    ON vs.CompanyStep2</v>
      </c>
      <c r="B19" s="10"/>
      <c r="C19" s="10"/>
      <c r="D19" s="10"/>
      <c r="E19" s="10"/>
    </row>
    <row r="20" spans="1:5" x14ac:dyDescent="0.25">
      <c r="A20" s="10" t="s">
        <v>91</v>
      </c>
      <c r="B20" s="10"/>
      <c r="C20" s="10"/>
      <c r="D20" s="10"/>
      <c r="E20" s="10"/>
    </row>
    <row r="21" spans="1:5" x14ac:dyDescent="0.25">
      <c r="A21" s="10" t="s">
        <v>48</v>
      </c>
      <c r="B21" s="10"/>
      <c r="C21" s="10"/>
      <c r="D21" s="10"/>
      <c r="E21" s="10"/>
    </row>
    <row r="22" spans="1:5" x14ac:dyDescent="0.25">
      <c r="A22" s="10" t="s">
        <v>92</v>
      </c>
      <c r="B22" s="10"/>
      <c r="C22" s="10"/>
      <c r="D22" s="10"/>
      <c r="E22" s="10"/>
    </row>
    <row r="23" spans="1:5" x14ac:dyDescent="0.25">
      <c r="A23" s="10" t="s">
        <v>93</v>
      </c>
      <c r="B23" s="10"/>
      <c r="C23" s="10"/>
      <c r="D23" s="10"/>
      <c r="E23" s="10"/>
    </row>
    <row r="24" spans="1:5" x14ac:dyDescent="0.25">
      <c r="A24" s="10" t="s">
        <v>94</v>
      </c>
      <c r="B24" s="10"/>
      <c r="C24" s="10"/>
      <c r="D24" s="10"/>
      <c r="E24" s="10"/>
    </row>
    <row r="25" spans="1:5" x14ac:dyDescent="0.25">
      <c r="A25" s="10" t="str">
        <f>"    FROM "&amp; TableName &amp;" X"</f>
        <v xml:space="preserve">    FROM vs.CompanyStep2 X</v>
      </c>
      <c r="B25" s="10"/>
      <c r="C25" s="10"/>
      <c r="D25" s="10"/>
      <c r="E25" s="10"/>
    </row>
    <row r="26" spans="1:5" x14ac:dyDescent="0.25">
      <c r="A26" s="10" t="str">
        <f>"    JOIN inserted i ON X." &amp; B2&amp; "  = i."&amp; B2</f>
        <v xml:space="preserve">    JOIN inserted i ON X.ID_BillingHistory  = i.ID_BillingHistory</v>
      </c>
      <c r="B26" s="10"/>
      <c r="C26" s="10"/>
      <c r="D26" s="10"/>
      <c r="E26" s="10"/>
    </row>
    <row r="27" spans="1:5" x14ac:dyDescent="0.25">
      <c r="A27" s="10" t="s">
        <v>95</v>
      </c>
      <c r="B27" s="10"/>
      <c r="C27" s="10"/>
      <c r="D27" s="10"/>
      <c r="E27" s="10"/>
    </row>
    <row r="28" spans="1:5" x14ac:dyDescent="0.25">
      <c r="A28" s="10"/>
      <c r="B28" s="10"/>
      <c r="C28" s="10"/>
      <c r="D28" s="10"/>
      <c r="E28" s="10"/>
    </row>
    <row r="29" spans="1:5" x14ac:dyDescent="0.25">
      <c r="A29" s="10" t="s">
        <v>40</v>
      </c>
      <c r="B29" s="10"/>
      <c r="C29" s="10"/>
      <c r="D29" s="10"/>
      <c r="E29" s="10"/>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9D1C2A-0B4D-44E4-83B7-DF5AB0D7D8C2}">
  <sheetPr codeName="Sheet9"/>
  <dimension ref="A1:P310"/>
  <sheetViews>
    <sheetView workbookViewId="0">
      <selection activeCell="B4" sqref="B4:B21"/>
    </sheetView>
  </sheetViews>
  <sheetFormatPr defaultRowHeight="15" x14ac:dyDescent="0.25"/>
  <cols>
    <col min="1" max="1" width="41.5703125" customWidth="1"/>
    <col min="2" max="2" width="50.7109375" customWidth="1"/>
    <col min="9" max="9" width="15" bestFit="1" customWidth="1"/>
    <col min="14" max="14" width="26.85546875" bestFit="1" customWidth="1"/>
    <col min="16" max="16" width="55.7109375" bestFit="1" customWidth="1"/>
  </cols>
  <sheetData>
    <row r="1" spans="1:16" x14ac:dyDescent="0.25">
      <c r="B1" t="s">
        <v>90</v>
      </c>
      <c r="D1" s="5" t="s">
        <v>44</v>
      </c>
      <c r="E1" s="6" t="s">
        <v>73</v>
      </c>
      <c r="I1" t="str">
        <f>"truncate table  " &amp; D1&amp;"."&amp;E1</f>
        <v>truncate table  dbo.tAddress</v>
      </c>
      <c r="M1" t="s">
        <v>88</v>
      </c>
      <c r="N1" s="6" t="s">
        <v>49</v>
      </c>
      <c r="P1" t="str">
        <f>"Update "&amp;M1&amp;N1&amp;" Set T_Version = 1.5, EffectiveFrom = '8/27/2019', T_DeletedFlag = 0, T_CreatedBy = 'pcand', T_CreatedDate = '8/8/2019'"</f>
        <v>Update dbo.lkpAvgDaysPastDue_Existing Set T_Version = 1.5, EffectiveFrom = '8/27/2019', T_DeletedFlag = 0, T_CreatedBy = 'pcand', T_CreatedDate = '8/8/2019'</v>
      </c>
    </row>
    <row r="2" spans="1:16" x14ac:dyDescent="0.25">
      <c r="B2" t="s">
        <v>48</v>
      </c>
      <c r="D2" s="7" t="s">
        <v>44</v>
      </c>
      <c r="E2" s="8" t="s">
        <v>74</v>
      </c>
      <c r="I2" t="str">
        <f t="shared" ref="I2:I16" si="0">"truncate table  " &amp; D2&amp;"."&amp;E2</f>
        <v>truncate table  dbo.tApplication</v>
      </c>
      <c r="M2" t="s">
        <v>88</v>
      </c>
      <c r="N2" s="8" t="s">
        <v>50</v>
      </c>
      <c r="P2" t="str">
        <f t="shared" ref="P2:P22" si="1">"Update "&amp;M2&amp;N2&amp;" Set T_Version = 1.5, EffectiveFrom = '8/27/2019', T_DeletedFlag = 0, T_CreatedBy = 'pcand', T_CreatedDate = '8/8/2019'"</f>
        <v>Update dbo.lkpAvgDaysPastDue_Market Set T_Version = 1.5, EffectiveFrom = '8/27/2019', T_DeletedFlag = 0, T_CreatedBy = 'pcand', T_CreatedDate = '8/8/2019'</v>
      </c>
    </row>
    <row r="3" spans="1:16" x14ac:dyDescent="0.25">
      <c r="A3" s="4" t="s">
        <v>47</v>
      </c>
      <c r="B3" s="4" t="s">
        <v>46</v>
      </c>
      <c r="D3" s="5" t="s">
        <v>44</v>
      </c>
      <c r="E3" s="6" t="s">
        <v>75</v>
      </c>
      <c r="I3" t="str">
        <f t="shared" si="0"/>
        <v>truncate table  dbo.tApplicationAsset</v>
      </c>
      <c r="M3" t="s">
        <v>88</v>
      </c>
      <c r="N3" s="6" t="s">
        <v>51</v>
      </c>
      <c r="P3" t="str">
        <f t="shared" si="1"/>
        <v>Update dbo.lkpCARBHeavy Set T_Version = 1.5, EffectiveFrom = '8/27/2019', T_DeletedFlag = 0, T_CreatedBy = 'pcand', T_CreatedDate = '8/8/2019'</v>
      </c>
    </row>
    <row r="4" spans="1:16" x14ac:dyDescent="0.25">
      <c r="A4" s="19" t="s">
        <v>506</v>
      </c>
      <c r="B4" t="str">
        <f>A4</f>
        <v>CodeType</v>
      </c>
      <c r="D4" s="7" t="s">
        <v>44</v>
      </c>
      <c r="E4" s="8" t="s">
        <v>76</v>
      </c>
      <c r="I4" t="str">
        <f t="shared" si="0"/>
        <v>truncate table  dbo.tApplicationCompany</v>
      </c>
      <c r="M4" t="s">
        <v>88</v>
      </c>
      <c r="N4" s="8" t="s">
        <v>52</v>
      </c>
      <c r="P4" t="str">
        <f t="shared" si="1"/>
        <v>Update dbo.lkpDecisionTreeConfig Set T_Version = 1.5, EffectiveFrom = '8/27/2019', T_DeletedFlag = 0, T_CreatedBy = 'pcand', T_CreatedDate = '8/8/2019'</v>
      </c>
    </row>
    <row r="5" spans="1:16" x14ac:dyDescent="0.25">
      <c r="A5" s="19" t="s">
        <v>507</v>
      </c>
      <c r="B5" t="str">
        <f>", " &amp; A5</f>
        <v>, Code</v>
      </c>
      <c r="D5" s="5" t="s">
        <v>44</v>
      </c>
      <c r="E5" s="6" t="s">
        <v>77</v>
      </c>
      <c r="I5" t="str">
        <f t="shared" si="0"/>
        <v>truncate table  dbo.tCompany</v>
      </c>
      <c r="M5" t="s">
        <v>88</v>
      </c>
      <c r="N5" s="6" t="s">
        <v>53</v>
      </c>
      <c r="P5" t="str">
        <f t="shared" si="1"/>
        <v>Update dbo.lkpDeliqRatePercChange Set T_Version = 1.5, EffectiveFrom = '8/27/2019', T_DeletedFlag = 0, T_CreatedBy = 'pcand', T_CreatedDate = '8/8/2019'</v>
      </c>
    </row>
    <row r="6" spans="1:16" x14ac:dyDescent="0.25">
      <c r="A6" s="19" t="s">
        <v>505</v>
      </c>
      <c r="B6" t="str">
        <f t="shared" ref="B6:B69" si="2">", " &amp; A6</f>
        <v>, Description</v>
      </c>
      <c r="D6" s="7" t="s">
        <v>44</v>
      </c>
      <c r="E6" s="8" t="s">
        <v>78</v>
      </c>
      <c r="I6" t="str">
        <f t="shared" si="0"/>
        <v>truncate table  dbo.tGuarantor</v>
      </c>
      <c r="M6" t="s">
        <v>88</v>
      </c>
      <c r="N6" s="8" t="s">
        <v>54</v>
      </c>
      <c r="P6" t="str">
        <f t="shared" si="1"/>
        <v>Update dbo.lkpDownPmtPerc Set T_Version = 1.5, EffectiveFrom = '8/27/2019', T_DeletedFlag = 0, T_CreatedBy = 'pcand', T_CreatedDate = '8/8/2019'</v>
      </c>
    </row>
    <row r="7" spans="1:16" x14ac:dyDescent="0.25">
      <c r="A7" t="s">
        <v>508</v>
      </c>
      <c r="B7" t="str">
        <f t="shared" si="2"/>
        <v>, FinanceCompanyName</v>
      </c>
      <c r="D7" s="5" t="s">
        <v>44</v>
      </c>
      <c r="E7" s="6" t="s">
        <v>79</v>
      </c>
      <c r="I7" t="str">
        <f t="shared" si="0"/>
        <v>truncate table  dbo.tGuarantorCBReport</v>
      </c>
      <c r="M7" t="s">
        <v>88</v>
      </c>
      <c r="N7" s="6" t="s">
        <v>55</v>
      </c>
      <c r="P7" t="str">
        <f t="shared" si="1"/>
        <v>Update dbo.lkpELCutOff Set T_Version = 1.5, EffectiveFrom = '8/27/2019', T_DeletedFlag = 0, T_CreatedBy = 'pcand', T_CreatedDate = '8/8/2019'</v>
      </c>
    </row>
    <row r="8" spans="1:16" x14ac:dyDescent="0.25">
      <c r="A8" s="20" t="s">
        <v>509</v>
      </c>
      <c r="B8" t="str">
        <f t="shared" si="2"/>
        <v>, IsDefault</v>
      </c>
      <c r="D8" s="7" t="s">
        <v>44</v>
      </c>
      <c r="E8" s="8" t="s">
        <v>80</v>
      </c>
      <c r="I8" t="str">
        <f t="shared" si="0"/>
        <v>truncate table  dbo.tLesseeCBReport</v>
      </c>
      <c r="M8" t="s">
        <v>88</v>
      </c>
      <c r="N8" s="8" t="s">
        <v>56</v>
      </c>
      <c r="P8" t="str">
        <f t="shared" si="1"/>
        <v>Update dbo.lkpFICOScore_Main Set T_Version = 1.5, EffectiveFrom = '8/27/2019', T_DeletedFlag = 0, T_CreatedBy = 'pcand', T_CreatedDate = '8/8/2019'</v>
      </c>
    </row>
    <row r="9" spans="1:16" x14ac:dyDescent="0.25">
      <c r="A9" s="20" t="s">
        <v>510</v>
      </c>
      <c r="B9" t="str">
        <f t="shared" si="2"/>
        <v>, IsActive</v>
      </c>
      <c r="D9" s="5" t="s">
        <v>44</v>
      </c>
      <c r="E9" s="6" t="s">
        <v>81</v>
      </c>
      <c r="I9" t="str">
        <f t="shared" si="0"/>
        <v>truncate table  dbo.tUser</v>
      </c>
      <c r="M9" t="s">
        <v>88</v>
      </c>
      <c r="N9" s="6" t="s">
        <v>57</v>
      </c>
      <c r="P9" t="str">
        <f t="shared" si="1"/>
        <v>Update dbo.lkpFICOScore_Prin2 Set T_Version = 1.5, EffectiveFrom = '8/27/2019', T_DeletedFlag = 0, T_CreatedBy = 'pcand', T_CreatedDate = '8/8/2019'</v>
      </c>
    </row>
    <row r="10" spans="1:16" x14ac:dyDescent="0.25">
      <c r="A10" s="20" t="s">
        <v>511</v>
      </c>
      <c r="B10" t="str">
        <f t="shared" si="2"/>
        <v>, InactiveDate</v>
      </c>
      <c r="D10" s="7" t="s">
        <v>44</v>
      </c>
      <c r="E10" s="8" t="s">
        <v>82</v>
      </c>
      <c r="I10" t="str">
        <f t="shared" si="0"/>
        <v>truncate table  dbo.tWorkflowHistory</v>
      </c>
      <c r="M10" t="s">
        <v>88</v>
      </c>
      <c r="N10" s="8" t="s">
        <v>58</v>
      </c>
      <c r="P10" t="str">
        <f t="shared" si="1"/>
        <v>Update dbo.lkpLGD Set T_Version = 1.5, EffectiveFrom = '8/27/2019', T_DeletedFlag = 0, T_CreatedBy = 'pcand', T_CreatedDate = '8/8/2019'</v>
      </c>
    </row>
    <row r="11" spans="1:16" x14ac:dyDescent="0.25">
      <c r="A11" s="20" t="s">
        <v>512</v>
      </c>
      <c r="B11" t="str">
        <f t="shared" si="2"/>
        <v>, GLSegmentValue</v>
      </c>
      <c r="D11" s="5" t="s">
        <v>44</v>
      </c>
      <c r="E11" s="6" t="s">
        <v>83</v>
      </c>
      <c r="I11" t="str">
        <f t="shared" si="0"/>
        <v>truncate table  dbo.vAppV3ApplicationAsset</v>
      </c>
      <c r="M11" t="s">
        <v>88</v>
      </c>
      <c r="N11" s="6" t="s">
        <v>59</v>
      </c>
      <c r="P11" t="str">
        <f t="shared" si="1"/>
        <v>Update dbo.lkpLTV Set T_Version = 1.5, EffectiveFrom = '8/27/2019', T_DeletedFlag = 0, T_CreatedBy = 'pcand', T_CreatedDate = '8/8/2019'</v>
      </c>
    </row>
    <row r="12" spans="1:16" x14ac:dyDescent="0.25">
      <c r="A12" s="20" t="s">
        <v>513</v>
      </c>
      <c r="B12" t="str">
        <f t="shared" si="2"/>
        <v>, Attribute1</v>
      </c>
      <c r="D12" s="5" t="s">
        <v>72</v>
      </c>
      <c r="E12" s="6" t="s">
        <v>84</v>
      </c>
      <c r="I12" t="str">
        <f t="shared" si="0"/>
        <v>truncate table  sub9000.Paynet</v>
      </c>
      <c r="M12" t="s">
        <v>88</v>
      </c>
      <c r="N12" s="8" t="s">
        <v>60</v>
      </c>
      <c r="P12" t="str">
        <f t="shared" si="1"/>
        <v>Update dbo.lkpNumInquiries Set T_Version = 1.5, EffectiveFrom = '8/27/2019', T_DeletedFlag = 0, T_CreatedBy = 'pcand', T_CreatedDate = '8/8/2019'</v>
      </c>
    </row>
    <row r="13" spans="1:16" x14ac:dyDescent="0.25">
      <c r="A13" s="20" t="s">
        <v>514</v>
      </c>
      <c r="B13" t="str">
        <f t="shared" si="2"/>
        <v>, Attribute2</v>
      </c>
      <c r="D13" s="7" t="s">
        <v>72</v>
      </c>
      <c r="E13" s="8" t="s">
        <v>85</v>
      </c>
      <c r="I13" t="str">
        <f t="shared" si="0"/>
        <v>truncate table  sub9000.tApplicationPricing9000</v>
      </c>
      <c r="M13" t="s">
        <v>88</v>
      </c>
      <c r="N13" s="6" t="s">
        <v>61</v>
      </c>
      <c r="P13" t="str">
        <f t="shared" si="1"/>
        <v>Update dbo.lkpNumTrucksOwned Set T_Version = 1.5, EffectiveFrom = '8/27/2019', T_DeletedFlag = 0, T_CreatedBy = 'pcand', T_CreatedDate = '8/8/2019'</v>
      </c>
    </row>
    <row r="14" spans="1:16" x14ac:dyDescent="0.25">
      <c r="A14" s="20" t="s">
        <v>515</v>
      </c>
      <c r="B14" t="str">
        <f t="shared" si="2"/>
        <v>, Attribute3</v>
      </c>
      <c r="D14" s="5" t="s">
        <v>72</v>
      </c>
      <c r="E14" s="6" t="s">
        <v>86</v>
      </c>
      <c r="I14" t="str">
        <f t="shared" si="0"/>
        <v>truncate table  sub9000.tVVGDealers</v>
      </c>
      <c r="M14" t="s">
        <v>88</v>
      </c>
      <c r="N14" s="8" t="s">
        <v>62</v>
      </c>
      <c r="P14" t="str">
        <f t="shared" si="1"/>
        <v>Update dbo.lkpPaynetScore_Main Set T_Version = 1.5, EffectiveFrom = '8/27/2019', T_DeletedFlag = 0, T_CreatedBy = 'pcand', T_CreatedDate = '8/8/2019'</v>
      </c>
    </row>
    <row r="15" spans="1:16" x14ac:dyDescent="0.25">
      <c r="A15" s="20" t="s">
        <v>516</v>
      </c>
      <c r="B15" t="str">
        <f t="shared" si="2"/>
        <v>, Attribute4</v>
      </c>
      <c r="D15" s="7" t="s">
        <v>72</v>
      </c>
      <c r="E15" s="8" t="s">
        <v>87</v>
      </c>
      <c r="I15" t="str">
        <f t="shared" si="0"/>
        <v>truncate table  sub9000.vApprovalForm</v>
      </c>
      <c r="M15" t="s">
        <v>88</v>
      </c>
      <c r="N15" s="6" t="s">
        <v>63</v>
      </c>
      <c r="P15" t="str">
        <f t="shared" si="1"/>
        <v>Update dbo.lkpPmt31_PastDue Set T_Version = 1.5, EffectiveFrom = '8/27/2019', T_DeletedFlag = 0, T_CreatedBy = 'pcand', T_CreatedDate = '8/8/2019'</v>
      </c>
    </row>
    <row r="16" spans="1:16" x14ac:dyDescent="0.25">
      <c r="A16" s="20" t="s">
        <v>517</v>
      </c>
      <c r="B16" t="str">
        <f t="shared" si="2"/>
        <v>, Attribute5</v>
      </c>
      <c r="D16" s="5" t="s">
        <v>72</v>
      </c>
      <c r="E16" s="6" t="s">
        <v>71</v>
      </c>
      <c r="I16" t="str">
        <f t="shared" si="0"/>
        <v>truncate table  sub9000.VehicleModels</v>
      </c>
      <c r="M16" t="s">
        <v>88</v>
      </c>
      <c r="N16" s="8" t="s">
        <v>64</v>
      </c>
      <c r="P16" t="str">
        <f t="shared" si="1"/>
        <v>Update dbo.lkpPrelimDecision Set T_Version = 1.5, EffectiveFrom = '8/27/2019', T_DeletedFlag = 0, T_CreatedBy = 'pcand', T_CreatedDate = '8/8/2019'</v>
      </c>
    </row>
    <row r="17" spans="1:16" x14ac:dyDescent="0.25">
      <c r="A17" s="20" t="s">
        <v>518</v>
      </c>
      <c r="B17" t="str">
        <f t="shared" si="2"/>
        <v>, Attribute6</v>
      </c>
      <c r="M17" t="s">
        <v>88</v>
      </c>
      <c r="N17" s="6" t="s">
        <v>65</v>
      </c>
      <c r="P17" t="str">
        <f t="shared" si="1"/>
        <v>Update dbo.lkpRiskGrade Set T_Version = 1.5, EffectiveFrom = '8/27/2019', T_DeletedFlag = 0, T_CreatedBy = 'pcand', T_CreatedDate = '8/8/2019'</v>
      </c>
    </row>
    <row r="18" spans="1:16" x14ac:dyDescent="0.25">
      <c r="A18" s="20" t="s">
        <v>519</v>
      </c>
      <c r="B18" t="str">
        <f t="shared" si="2"/>
        <v>, Attribute7</v>
      </c>
      <c r="M18" t="s">
        <v>88</v>
      </c>
      <c r="N18" s="8" t="s">
        <v>66</v>
      </c>
      <c r="P18" t="str">
        <f t="shared" si="1"/>
        <v>Update dbo.lkpRiskScore Set T_Version = 1.5, EffectiveFrom = '8/27/2019', T_DeletedFlag = 0, T_CreatedBy = 'pcand', T_CreatedDate = '8/8/2019'</v>
      </c>
    </row>
    <row r="19" spans="1:16" x14ac:dyDescent="0.25">
      <c r="A19" s="20" t="s">
        <v>520</v>
      </c>
      <c r="B19" t="str">
        <f t="shared" si="2"/>
        <v>, Attribute8</v>
      </c>
      <c r="M19" t="s">
        <v>88</v>
      </c>
      <c r="N19" s="6" t="s">
        <v>67</v>
      </c>
      <c r="P19" t="str">
        <f t="shared" si="1"/>
        <v>Update dbo.lkpStateCode Set T_Version = 1.5, EffectiveFrom = '8/27/2019', T_DeletedFlag = 0, T_CreatedBy = 'pcand', T_CreatedDate = '8/8/2019'</v>
      </c>
    </row>
    <row r="20" spans="1:16" x14ac:dyDescent="0.25">
      <c r="A20" s="20" t="s">
        <v>521</v>
      </c>
      <c r="B20" t="str">
        <f t="shared" si="2"/>
        <v>, Attribute9</v>
      </c>
      <c r="M20" t="s">
        <v>88</v>
      </c>
      <c r="N20" s="8" t="s">
        <v>68</v>
      </c>
      <c r="P20" t="str">
        <f t="shared" si="1"/>
        <v>Update dbo.lkpTerm Set T_Version = 1.5, EffectiveFrom = '8/27/2019', T_DeletedFlag = 0, T_CreatedBy = 'pcand', T_CreatedDate = '8/8/2019'</v>
      </c>
    </row>
    <row r="21" spans="1:16" x14ac:dyDescent="0.25">
      <c r="A21" s="20" t="s">
        <v>522</v>
      </c>
      <c r="B21" t="str">
        <f t="shared" si="2"/>
        <v>, Attribute10</v>
      </c>
      <c r="M21" t="s">
        <v>88</v>
      </c>
      <c r="N21" s="6" t="s">
        <v>69</v>
      </c>
      <c r="P21" t="str">
        <f t="shared" si="1"/>
        <v>Update dbo.lkpTimeInBusiness Set T_Version = 1.5, EffectiveFrom = '8/27/2019', T_DeletedFlag = 0, T_CreatedBy = 'pcand', T_CreatedDate = '8/8/2019'</v>
      </c>
    </row>
    <row r="22" spans="1:16" x14ac:dyDescent="0.25">
      <c r="A22" s="16"/>
      <c r="B22" t="str">
        <f t="shared" si="2"/>
        <v xml:space="preserve">, </v>
      </c>
      <c r="M22" t="s">
        <v>88</v>
      </c>
      <c r="N22" s="8" t="s">
        <v>70</v>
      </c>
      <c r="P22" t="str">
        <f t="shared" si="1"/>
        <v>Update dbo.lkpUsedAsset Set T_Version = 1.5, EffectiveFrom = '8/27/2019', T_DeletedFlag = 0, T_CreatedBy = 'pcand', T_CreatedDate = '8/8/2019'</v>
      </c>
    </row>
    <row r="23" spans="1:16" x14ac:dyDescent="0.25">
      <c r="A23" s="17"/>
      <c r="B23" t="str">
        <f t="shared" si="2"/>
        <v xml:space="preserve">, </v>
      </c>
    </row>
    <row r="24" spans="1:16" x14ac:dyDescent="0.25">
      <c r="A24" s="16"/>
      <c r="B24" t="str">
        <f t="shared" si="2"/>
        <v xml:space="preserve">, </v>
      </c>
    </row>
    <row r="25" spans="1:16" x14ac:dyDescent="0.25">
      <c r="A25" s="17"/>
      <c r="B25" t="str">
        <f t="shared" si="2"/>
        <v xml:space="preserve">, </v>
      </c>
    </row>
    <row r="26" spans="1:16" x14ac:dyDescent="0.25">
      <c r="A26" s="16"/>
      <c r="B26" t="str">
        <f t="shared" si="2"/>
        <v xml:space="preserve">, </v>
      </c>
    </row>
    <row r="27" spans="1:16" x14ac:dyDescent="0.25">
      <c r="A27" s="17"/>
      <c r="B27" t="str">
        <f t="shared" si="2"/>
        <v xml:space="preserve">, </v>
      </c>
    </row>
    <row r="28" spans="1:16" x14ac:dyDescent="0.25">
      <c r="A28" s="16"/>
      <c r="B28" t="str">
        <f t="shared" si="2"/>
        <v xml:space="preserve">, </v>
      </c>
    </row>
    <row r="29" spans="1:16" x14ac:dyDescent="0.25">
      <c r="A29" s="17"/>
      <c r="B29" t="str">
        <f t="shared" si="2"/>
        <v xml:space="preserve">, </v>
      </c>
    </row>
    <row r="30" spans="1:16" x14ac:dyDescent="0.25">
      <c r="A30" s="16"/>
      <c r="B30" t="str">
        <f t="shared" si="2"/>
        <v xml:space="preserve">, </v>
      </c>
    </row>
    <row r="31" spans="1:16" x14ac:dyDescent="0.25">
      <c r="A31" s="17"/>
      <c r="B31" t="str">
        <f t="shared" si="2"/>
        <v xml:space="preserve">, </v>
      </c>
    </row>
    <row r="32" spans="1:16" x14ac:dyDescent="0.25">
      <c r="A32" s="16"/>
      <c r="B32" t="str">
        <f t="shared" si="2"/>
        <v xml:space="preserve">, </v>
      </c>
    </row>
    <row r="33" spans="1:2" x14ac:dyDescent="0.25">
      <c r="A33" s="17"/>
      <c r="B33" t="str">
        <f t="shared" si="2"/>
        <v xml:space="preserve">, </v>
      </c>
    </row>
    <row r="34" spans="1:2" x14ac:dyDescent="0.25">
      <c r="A34" s="16"/>
      <c r="B34" t="str">
        <f t="shared" si="2"/>
        <v xml:space="preserve">, </v>
      </c>
    </row>
    <row r="35" spans="1:2" x14ac:dyDescent="0.25">
      <c r="A35" s="17"/>
      <c r="B35" t="str">
        <f t="shared" si="2"/>
        <v xml:space="preserve">, </v>
      </c>
    </row>
    <row r="36" spans="1:2" x14ac:dyDescent="0.25">
      <c r="A36" s="16"/>
      <c r="B36" t="str">
        <f t="shared" si="2"/>
        <v xml:space="preserve">, </v>
      </c>
    </row>
    <row r="37" spans="1:2" x14ac:dyDescent="0.25">
      <c r="A37" s="17" t="s">
        <v>484</v>
      </c>
      <c r="B37" t="str">
        <f t="shared" si="2"/>
        <v>, GuarantorQuestion2</v>
      </c>
    </row>
    <row r="38" spans="1:2" x14ac:dyDescent="0.25">
      <c r="A38" s="16" t="s">
        <v>485</v>
      </c>
      <c r="B38" t="str">
        <f t="shared" si="2"/>
        <v>, GuarantorSalutation</v>
      </c>
    </row>
    <row r="39" spans="1:2" x14ac:dyDescent="0.25">
      <c r="A39" s="17" t="s">
        <v>486</v>
      </c>
      <c r="B39" t="str">
        <f t="shared" si="2"/>
        <v>, GuarantorSIC</v>
      </c>
    </row>
    <row r="40" spans="1:2" x14ac:dyDescent="0.25">
      <c r="A40" s="16" t="s">
        <v>487</v>
      </c>
      <c r="B40" t="str">
        <f t="shared" si="2"/>
        <v>, GuarantorSSN</v>
      </c>
    </row>
    <row r="41" spans="1:2" x14ac:dyDescent="0.25">
      <c r="A41" s="17" t="s">
        <v>488</v>
      </c>
      <c r="B41" t="str">
        <f t="shared" si="2"/>
        <v>, GuarantorStateCode</v>
      </c>
    </row>
    <row r="42" spans="1:2" x14ac:dyDescent="0.25">
      <c r="A42" s="16" t="s">
        <v>489</v>
      </c>
      <c r="B42" t="str">
        <f t="shared" si="2"/>
        <v>, GuarantorTitle</v>
      </c>
    </row>
    <row r="43" spans="1:2" x14ac:dyDescent="0.25">
      <c r="A43" s="17" t="s">
        <v>490</v>
      </c>
      <c r="B43" t="str">
        <f t="shared" si="2"/>
        <v>, GuarantorUdef01</v>
      </c>
    </row>
    <row r="44" spans="1:2" x14ac:dyDescent="0.25">
      <c r="A44" s="16" t="s">
        <v>491</v>
      </c>
      <c r="B44" t="str">
        <f t="shared" si="2"/>
        <v>, GuarantorUdef02</v>
      </c>
    </row>
    <row r="45" spans="1:2" x14ac:dyDescent="0.25">
      <c r="A45" s="17" t="s">
        <v>492</v>
      </c>
      <c r="B45" t="str">
        <f t="shared" si="2"/>
        <v>, GuarantorUdef03</v>
      </c>
    </row>
    <row r="46" spans="1:2" x14ac:dyDescent="0.25">
      <c r="A46" s="16" t="s">
        <v>493</v>
      </c>
      <c r="B46" t="str">
        <f t="shared" si="2"/>
        <v>, GuarantorUdef04</v>
      </c>
    </row>
    <row r="47" spans="1:2" x14ac:dyDescent="0.25">
      <c r="A47" s="17" t="s">
        <v>494</v>
      </c>
      <c r="B47" t="str">
        <f t="shared" si="2"/>
        <v>, GuarantorUdef05</v>
      </c>
    </row>
    <row r="48" spans="1:2" x14ac:dyDescent="0.25">
      <c r="A48" s="16" t="s">
        <v>495</v>
      </c>
      <c r="B48" t="str">
        <f t="shared" si="2"/>
        <v>, GuarantorUdef06</v>
      </c>
    </row>
    <row r="49" spans="1:2" x14ac:dyDescent="0.25">
      <c r="A49" s="17" t="s">
        <v>496</v>
      </c>
      <c r="B49" t="str">
        <f t="shared" si="2"/>
        <v>, GuarantorUdef07</v>
      </c>
    </row>
    <row r="50" spans="1:2" x14ac:dyDescent="0.25">
      <c r="A50" s="16" t="s">
        <v>497</v>
      </c>
      <c r="B50" t="str">
        <f t="shared" si="2"/>
        <v>, GuarantorUdef08</v>
      </c>
    </row>
    <row r="51" spans="1:2" x14ac:dyDescent="0.25">
      <c r="A51" s="17" t="s">
        <v>498</v>
      </c>
      <c r="B51" t="str">
        <f t="shared" si="2"/>
        <v>, GuarantorUdef09</v>
      </c>
    </row>
    <row r="52" spans="1:2" x14ac:dyDescent="0.25">
      <c r="A52" s="16" t="s">
        <v>499</v>
      </c>
      <c r="B52" t="str">
        <f t="shared" si="2"/>
        <v>, GuarantorUdef10</v>
      </c>
    </row>
    <row r="53" spans="1:2" x14ac:dyDescent="0.25">
      <c r="A53" s="17" t="s">
        <v>500</v>
      </c>
      <c r="B53" t="str">
        <f t="shared" si="2"/>
        <v>, GuarantorUdefInt1</v>
      </c>
    </row>
    <row r="54" spans="1:2" x14ac:dyDescent="0.25">
      <c r="A54" s="16" t="s">
        <v>501</v>
      </c>
      <c r="B54" t="str">
        <f t="shared" si="2"/>
        <v>, MonthsAtEmployer</v>
      </c>
    </row>
    <row r="55" spans="1:2" x14ac:dyDescent="0.25">
      <c r="A55" s="17" t="s">
        <v>483</v>
      </c>
      <c r="B55" t="str">
        <f t="shared" si="2"/>
        <v>, ResidenceType</v>
      </c>
    </row>
    <row r="56" spans="1:2" x14ac:dyDescent="0.25">
      <c r="A56" s="16" t="s">
        <v>482</v>
      </c>
      <c r="B56" t="str">
        <f t="shared" si="2"/>
        <v>, TransientKey</v>
      </c>
    </row>
    <row r="57" spans="1:2" x14ac:dyDescent="0.25">
      <c r="A57" s="17" t="s">
        <v>400</v>
      </c>
      <c r="B57" t="str">
        <f t="shared" si="2"/>
        <v>, UpdateDate</v>
      </c>
    </row>
    <row r="58" spans="1:2" x14ac:dyDescent="0.25">
      <c r="A58" s="16" t="s">
        <v>481</v>
      </c>
      <c r="B58" t="str">
        <f t="shared" si="2"/>
        <v>, UpdateUserNum</v>
      </c>
    </row>
    <row r="59" spans="1:2" x14ac:dyDescent="0.25">
      <c r="A59" s="17" t="s">
        <v>480</v>
      </c>
      <c r="B59" t="str">
        <f t="shared" si="2"/>
        <v>, UserNum</v>
      </c>
    </row>
    <row r="60" spans="1:2" x14ac:dyDescent="0.25">
      <c r="A60" s="18" t="s">
        <v>502</v>
      </c>
      <c r="B60" t="str">
        <f t="shared" si="2"/>
        <v>, YearsIndustryExperience</v>
      </c>
    </row>
    <row r="63" spans="1:2" x14ac:dyDescent="0.25">
      <c r="A63" t="s">
        <v>402</v>
      </c>
      <c r="B63" t="str">
        <f t="shared" si="2"/>
        <v>, Expected_Conversion_Date__c</v>
      </c>
    </row>
    <row r="64" spans="1:2" x14ac:dyDescent="0.25">
      <c r="A64" t="s">
        <v>403</v>
      </c>
      <c r="B64" t="str">
        <f t="shared" si="2"/>
        <v>, Final_Disbursement_Date__c</v>
      </c>
    </row>
    <row r="65" spans="1:2" x14ac:dyDescent="0.25">
      <c r="A65" t="s">
        <v>404</v>
      </c>
      <c r="B65" t="str">
        <f t="shared" si="2"/>
        <v>, First_Contact_Date__c</v>
      </c>
    </row>
    <row r="66" spans="1:2" x14ac:dyDescent="0.25">
      <c r="A66" t="s">
        <v>405</v>
      </c>
      <c r="B66" t="str">
        <f t="shared" si="2"/>
        <v>, Franchise_Name__c</v>
      </c>
    </row>
    <row r="67" spans="1:2" x14ac:dyDescent="0.25">
      <c r="A67" t="s">
        <v>406</v>
      </c>
      <c r="B67" t="str">
        <f t="shared" si="2"/>
        <v>, Franchise__c</v>
      </c>
    </row>
    <row r="68" spans="1:2" x14ac:dyDescent="0.25">
      <c r="A68" t="s">
        <v>407</v>
      </c>
      <c r="B68" t="str">
        <f t="shared" si="2"/>
        <v>, Good_Faith_Deposit_Received__c</v>
      </c>
    </row>
    <row r="69" spans="1:2" x14ac:dyDescent="0.25">
      <c r="A69" t="s">
        <v>408</v>
      </c>
      <c r="B69" t="str">
        <f t="shared" si="2"/>
        <v>, Industry_Experience__c</v>
      </c>
    </row>
    <row r="70" spans="1:2" x14ac:dyDescent="0.25">
      <c r="A70" t="s">
        <v>409</v>
      </c>
      <c r="B70" t="str">
        <f t="shared" ref="B70:B133" si="3">", " &amp; A70</f>
        <v>, Interest_Rate__c</v>
      </c>
    </row>
    <row r="71" spans="1:2" x14ac:dyDescent="0.25">
      <c r="A71" t="s">
        <v>410</v>
      </c>
      <c r="B71" t="str">
        <f t="shared" si="3"/>
        <v>, LOI_Accepted_Date__c</v>
      </c>
    </row>
    <row r="72" spans="1:2" x14ac:dyDescent="0.25">
      <c r="A72" t="s">
        <v>411</v>
      </c>
      <c r="B72" t="str">
        <f t="shared" si="3"/>
        <v>, LOI_Issue_Date__c</v>
      </c>
    </row>
    <row r="73" spans="1:2" x14ac:dyDescent="0.25">
      <c r="A73" t="s">
        <v>412</v>
      </c>
      <c r="B73" t="str">
        <f t="shared" si="3"/>
        <v>, Lead_Source_Type__c</v>
      </c>
    </row>
    <row r="74" spans="1:2" x14ac:dyDescent="0.25">
      <c r="A74" t="s">
        <v>413</v>
      </c>
      <c r="B74" t="str">
        <f t="shared" si="3"/>
        <v>, List_of_Collateral__c</v>
      </c>
    </row>
    <row r="75" spans="1:2" x14ac:dyDescent="0.25">
      <c r="A75" t="s">
        <v>414</v>
      </c>
      <c r="B75" t="str">
        <f t="shared" si="3"/>
        <v>, Loan_Amount__c</v>
      </c>
    </row>
    <row r="76" spans="1:2" x14ac:dyDescent="0.25">
      <c r="A76" t="s">
        <v>401</v>
      </c>
      <c r="B76" t="str">
        <f t="shared" si="3"/>
        <v>, Loan_Officer__c</v>
      </c>
    </row>
    <row r="77" spans="1:2" x14ac:dyDescent="0.25">
      <c r="A77" t="s">
        <v>415</v>
      </c>
      <c r="B77" t="str">
        <f t="shared" si="3"/>
        <v>, Loan_Term__c</v>
      </c>
    </row>
    <row r="78" spans="1:2" x14ac:dyDescent="0.25">
      <c r="A78" t="s">
        <v>416</v>
      </c>
      <c r="B78" t="str">
        <f t="shared" si="3"/>
        <v>, Loan_Type__c</v>
      </c>
    </row>
    <row r="79" spans="1:2" x14ac:dyDescent="0.25">
      <c r="A79" t="s">
        <v>417</v>
      </c>
      <c r="B79" t="str">
        <f t="shared" si="3"/>
        <v>, Loan_to_Value_Cost__c</v>
      </c>
    </row>
    <row r="80" spans="1:2" x14ac:dyDescent="0.25">
      <c r="A80" t="s">
        <v>418</v>
      </c>
      <c r="B80" t="str">
        <f t="shared" si="3"/>
        <v>, MLC_Approval_Date__c</v>
      </c>
    </row>
    <row r="81" spans="1:2" x14ac:dyDescent="0.25">
      <c r="A81" t="s">
        <v>419</v>
      </c>
      <c r="B81" t="str">
        <f t="shared" si="3"/>
        <v>, MLC_Approval_Submission_Date__c</v>
      </c>
    </row>
    <row r="82" spans="1:2" x14ac:dyDescent="0.25">
      <c r="A82" t="s">
        <v>420</v>
      </c>
      <c r="B82" t="str">
        <f t="shared" si="3"/>
        <v>, Prescreen_Document_Location__c</v>
      </c>
    </row>
    <row r="83" spans="1:2" x14ac:dyDescent="0.25">
      <c r="A83" t="s">
        <v>421</v>
      </c>
      <c r="B83" t="str">
        <f t="shared" si="3"/>
        <v>, Prescreen_Submission_Date__c</v>
      </c>
    </row>
    <row r="84" spans="1:2" x14ac:dyDescent="0.25">
      <c r="A84" t="s">
        <v>422</v>
      </c>
      <c r="B84" t="str">
        <f t="shared" si="3"/>
        <v>, Pricing__c</v>
      </c>
    </row>
    <row r="85" spans="1:2" x14ac:dyDescent="0.25">
      <c r="A85" t="s">
        <v>423</v>
      </c>
      <c r="B85" t="str">
        <f t="shared" si="3"/>
        <v>, Primary_Purpose_of_Loan__c</v>
      </c>
    </row>
    <row r="86" spans="1:2" x14ac:dyDescent="0.25">
      <c r="A86" t="s">
        <v>424</v>
      </c>
      <c r="B86" t="str">
        <f t="shared" si="3"/>
        <v>, Prior_Bankruptcy_Last_10_Years__c</v>
      </c>
    </row>
    <row r="87" spans="1:2" x14ac:dyDescent="0.25">
      <c r="A87" t="s">
        <v>425</v>
      </c>
      <c r="B87" t="str">
        <f t="shared" si="3"/>
        <v>, Project_Cost__c</v>
      </c>
    </row>
    <row r="88" spans="1:2" x14ac:dyDescent="0.25">
      <c r="A88" t="s">
        <v>426</v>
      </c>
      <c r="B88" t="str">
        <f t="shared" si="3"/>
        <v>, Property_Type__c</v>
      </c>
    </row>
    <row r="89" spans="1:2" x14ac:dyDescent="0.25">
      <c r="A89" t="s">
        <v>427</v>
      </c>
      <c r="B89" t="str">
        <f t="shared" si="3"/>
        <v>, Relocation__c</v>
      </c>
    </row>
    <row r="90" spans="1:2" x14ac:dyDescent="0.25">
      <c r="A90" t="s">
        <v>428</v>
      </c>
      <c r="B90" t="str">
        <f t="shared" si="3"/>
        <v>, SBA_Approval_Date__c</v>
      </c>
    </row>
    <row r="91" spans="1:2" x14ac:dyDescent="0.25">
      <c r="A91" t="s">
        <v>429</v>
      </c>
      <c r="B91" t="str">
        <f t="shared" si="3"/>
        <v>, SBA_Approval_Submission_Date__c</v>
      </c>
    </row>
    <row r="92" spans="1:2" x14ac:dyDescent="0.25">
      <c r="A92" t="s">
        <v>430</v>
      </c>
      <c r="B92" t="str">
        <f t="shared" si="3"/>
        <v>, Secondary_Purpose_of_Loan__c</v>
      </c>
    </row>
    <row r="93" spans="1:2" x14ac:dyDescent="0.25">
      <c r="A93" t="s">
        <v>431</v>
      </c>
      <c r="B93" t="str">
        <f t="shared" si="3"/>
        <v>, Subject_City__c</v>
      </c>
    </row>
    <row r="94" spans="1:2" x14ac:dyDescent="0.25">
      <c r="A94" t="s">
        <v>432</v>
      </c>
      <c r="B94" t="str">
        <f t="shared" si="3"/>
        <v>, Subject_State__c</v>
      </c>
    </row>
    <row r="95" spans="1:2" x14ac:dyDescent="0.25">
      <c r="A95" t="s">
        <v>433</v>
      </c>
      <c r="B95" t="str">
        <f t="shared" si="3"/>
        <v>, Subject_Street__c</v>
      </c>
    </row>
    <row r="96" spans="1:2" x14ac:dyDescent="0.25">
      <c r="A96" t="s">
        <v>434</v>
      </c>
      <c r="B96" t="str">
        <f t="shared" si="3"/>
        <v>, Subject_Zip__c</v>
      </c>
    </row>
    <row r="97" spans="1:2" x14ac:dyDescent="0.25">
      <c r="A97" t="s">
        <v>435</v>
      </c>
      <c r="B97" t="str">
        <f t="shared" si="3"/>
        <v>, X912_Issue_Description__c</v>
      </c>
    </row>
    <row r="98" spans="1:2" x14ac:dyDescent="0.25">
      <c r="A98" t="s">
        <v>436</v>
      </c>
      <c r="B98" t="str">
        <f t="shared" si="3"/>
        <v>, X912_Issue__c</v>
      </c>
    </row>
    <row r="99" spans="1:2" x14ac:dyDescent="0.25">
      <c r="A99" t="s">
        <v>437</v>
      </c>
      <c r="B99" t="str">
        <f t="shared" si="3"/>
        <v>, Last_Stage_Change__c</v>
      </c>
    </row>
    <row r="100" spans="1:2" x14ac:dyDescent="0.25">
      <c r="A100" t="s">
        <v>438</v>
      </c>
      <c r="B100" t="str">
        <f t="shared" si="3"/>
        <v>, Internal_Loan_Id__c</v>
      </c>
    </row>
    <row r="101" spans="1:2" x14ac:dyDescent="0.25">
      <c r="A101" t="s">
        <v>439</v>
      </c>
      <c r="B101" t="str">
        <f t="shared" si="3"/>
        <v>, Internal_System__c</v>
      </c>
    </row>
    <row r="102" spans="1:2" x14ac:dyDescent="0.25">
      <c r="A102" t="s">
        <v>440</v>
      </c>
      <c r="B102" t="str">
        <f t="shared" si="3"/>
        <v>, Maturity_Date__c</v>
      </c>
    </row>
    <row r="103" spans="1:2" x14ac:dyDescent="0.25">
      <c r="A103" t="s">
        <v>441</v>
      </c>
      <c r="B103" t="str">
        <f t="shared" si="3"/>
        <v>, GCLID__c</v>
      </c>
    </row>
    <row r="104" spans="1:2" x14ac:dyDescent="0.25">
      <c r="A104" t="s">
        <v>442</v>
      </c>
      <c r="B104" t="str">
        <f t="shared" si="3"/>
        <v>, UTM_Campaign__c</v>
      </c>
    </row>
    <row r="105" spans="1:2" x14ac:dyDescent="0.25">
      <c r="A105" t="s">
        <v>443</v>
      </c>
      <c r="B105" t="str">
        <f t="shared" si="3"/>
        <v>, UTM_Medium__c</v>
      </c>
    </row>
    <row r="106" spans="1:2" x14ac:dyDescent="0.25">
      <c r="A106" t="s">
        <v>444</v>
      </c>
      <c r="B106" t="str">
        <f t="shared" si="3"/>
        <v>, UTM_Source__c</v>
      </c>
    </row>
    <row r="107" spans="1:2" x14ac:dyDescent="0.25">
      <c r="A107" t="s">
        <v>445</v>
      </c>
      <c r="B107" t="str">
        <f t="shared" si="3"/>
        <v>, UTM_Term__c</v>
      </c>
    </row>
    <row r="108" spans="1:2" x14ac:dyDescent="0.25">
      <c r="A108" t="s">
        <v>446</v>
      </c>
      <c r="B108" t="str">
        <f t="shared" si="3"/>
        <v>, Goals1__c</v>
      </c>
    </row>
    <row r="109" spans="1:2" x14ac:dyDescent="0.25">
      <c r="A109" t="s">
        <v>447</v>
      </c>
      <c r="B109" t="str">
        <f t="shared" si="3"/>
        <v>, LASERCA__City_Address__c</v>
      </c>
    </row>
    <row r="110" spans="1:2" x14ac:dyDescent="0.25">
      <c r="A110" t="s">
        <v>448</v>
      </c>
      <c r="B110" t="str">
        <f t="shared" si="3"/>
        <v>, LASERCA__Co_Applicant_First_Name__c</v>
      </c>
    </row>
    <row r="111" spans="1:2" x14ac:dyDescent="0.25">
      <c r="A111" t="s">
        <v>449</v>
      </c>
      <c r="B111" t="str">
        <f t="shared" si="3"/>
        <v>, LASERCA__Co_Applicant_SSN_Encrypted__c</v>
      </c>
    </row>
    <row r="112" spans="1:2" x14ac:dyDescent="0.25">
      <c r="A112" t="s">
        <v>450</v>
      </c>
      <c r="B112" t="str">
        <f t="shared" si="3"/>
        <v>, LASERCA__Co_applicant_Last_Name__c</v>
      </c>
    </row>
    <row r="113" spans="1:2" x14ac:dyDescent="0.25">
      <c r="A113" t="s">
        <v>451</v>
      </c>
      <c r="B113" t="str">
        <f t="shared" si="3"/>
        <v>, LASERCA__File_Number__c</v>
      </c>
    </row>
    <row r="114" spans="1:2" x14ac:dyDescent="0.25">
      <c r="A114" t="s">
        <v>452</v>
      </c>
      <c r="B114" t="str">
        <f t="shared" si="3"/>
        <v>, LASERCA__First_Name__c</v>
      </c>
    </row>
    <row r="115" spans="1:2" x14ac:dyDescent="0.25">
      <c r="A115" t="s">
        <v>453</v>
      </c>
      <c r="B115" t="str">
        <f t="shared" si="3"/>
        <v>, LASERCA__Home_Country__c</v>
      </c>
    </row>
    <row r="116" spans="1:2" x14ac:dyDescent="0.25">
      <c r="A116" t="s">
        <v>454</v>
      </c>
      <c r="B116" t="str">
        <f t="shared" si="3"/>
        <v>, LASERCA__Last_Name__c</v>
      </c>
    </row>
    <row r="117" spans="1:2" x14ac:dyDescent="0.25">
      <c r="A117" t="s">
        <v>455</v>
      </c>
      <c r="B117" t="str">
        <f t="shared" si="3"/>
        <v>, LASERCA__Request_Credit_Bureau__c</v>
      </c>
    </row>
    <row r="118" spans="1:2" x14ac:dyDescent="0.25">
      <c r="A118" t="s">
        <v>456</v>
      </c>
      <c r="B118" t="str">
        <f t="shared" si="3"/>
        <v>, LASERCA__SSN_encrypted__c</v>
      </c>
    </row>
    <row r="119" spans="1:2" x14ac:dyDescent="0.25">
      <c r="A119" t="s">
        <v>457</v>
      </c>
      <c r="B119" t="str">
        <f t="shared" si="3"/>
        <v>, LASERCA__Special_Options__c</v>
      </c>
    </row>
    <row r="120" spans="1:2" x14ac:dyDescent="0.25">
      <c r="A120" t="s">
        <v>458</v>
      </c>
      <c r="B120" t="str">
        <f t="shared" si="3"/>
        <v>, LASERCA__State_Address__c</v>
      </c>
    </row>
    <row r="121" spans="1:2" x14ac:dyDescent="0.25">
      <c r="A121" t="s">
        <v>459</v>
      </c>
      <c r="B121" t="str">
        <f t="shared" si="3"/>
        <v>, LASERCA__Street_Address__c</v>
      </c>
    </row>
    <row r="122" spans="1:2" x14ac:dyDescent="0.25">
      <c r="A122" t="s">
        <v>460</v>
      </c>
      <c r="B122" t="str">
        <f t="shared" si="3"/>
        <v>, LASERCA__Zip_Code_Address__c</v>
      </c>
    </row>
    <row r="123" spans="1:2" x14ac:dyDescent="0.25">
      <c r="A123" t="s">
        <v>461</v>
      </c>
      <c r="B123" t="str">
        <f t="shared" si="3"/>
        <v>, Amount_Sold__c</v>
      </c>
    </row>
    <row r="124" spans="1:2" x14ac:dyDescent="0.25">
      <c r="A124" t="s">
        <v>462</v>
      </c>
      <c r="B124" t="str">
        <f t="shared" si="3"/>
        <v>, Additional_Products__c</v>
      </c>
    </row>
    <row r="125" spans="1:2" x14ac:dyDescent="0.25">
      <c r="A125" t="s">
        <v>463</v>
      </c>
      <c r="B125" t="str">
        <f t="shared" si="3"/>
        <v>, Promo__c</v>
      </c>
    </row>
    <row r="126" spans="1:2" x14ac:dyDescent="0.25">
      <c r="A126" t="s">
        <v>464</v>
      </c>
      <c r="B126" t="str">
        <f t="shared" si="3"/>
        <v>, CalCAP__c</v>
      </c>
    </row>
    <row r="127" spans="1:2" x14ac:dyDescent="0.25">
      <c r="A127" t="s">
        <v>465</v>
      </c>
      <c r="B127" t="str">
        <f t="shared" si="3"/>
        <v>, Days_to_Close__c</v>
      </c>
    </row>
    <row r="128" spans="1:2" x14ac:dyDescent="0.25">
      <c r="A128" t="s">
        <v>466</v>
      </c>
      <c r="B128" t="str">
        <f t="shared" si="3"/>
        <v>, Multi_Disbursement__c</v>
      </c>
    </row>
    <row r="129" spans="1:2" x14ac:dyDescent="0.25">
      <c r="A129" t="s">
        <v>467</v>
      </c>
      <c r="B129" t="str">
        <f t="shared" si="3"/>
        <v>, Bankruptcy__c</v>
      </c>
    </row>
    <row r="130" spans="1:2" x14ac:dyDescent="0.25">
      <c r="A130" t="s">
        <v>468</v>
      </c>
      <c r="B130" t="str">
        <f t="shared" si="3"/>
        <v>, Credit_Score__c</v>
      </c>
    </row>
    <row r="131" spans="1:2" x14ac:dyDescent="0.25">
      <c r="A131" t="s">
        <v>469</v>
      </c>
      <c r="B131" t="str">
        <f t="shared" si="3"/>
        <v>, Date_of_Credit_Score__c</v>
      </c>
    </row>
    <row r="132" spans="1:2" x14ac:dyDescent="0.25">
      <c r="A132" t="s">
        <v>470</v>
      </c>
      <c r="B132" t="str">
        <f t="shared" si="3"/>
        <v>, Get_Credit_Data_Opportunity__c</v>
      </c>
    </row>
    <row r="133" spans="1:2" x14ac:dyDescent="0.25">
      <c r="A133" t="s">
        <v>471</v>
      </c>
      <c r="B133" t="str">
        <f t="shared" si="3"/>
        <v>, Total_Revolving_Available_TRA_20_or_l__c</v>
      </c>
    </row>
    <row r="134" spans="1:2" x14ac:dyDescent="0.25">
      <c r="A134" t="s">
        <v>472</v>
      </c>
      <c r="B134" t="str">
        <f t="shared" ref="B134:B197" si="4">", " &amp; A134</f>
        <v>, Bankruptcy_Image__c</v>
      </c>
    </row>
    <row r="135" spans="1:2" x14ac:dyDescent="0.25">
      <c r="A135" t="s">
        <v>473</v>
      </c>
      <c r="B135" t="str">
        <f t="shared" si="4"/>
        <v>, Credit_Score_Image__c</v>
      </c>
    </row>
    <row r="136" spans="1:2" x14ac:dyDescent="0.25">
      <c r="A136" t="s">
        <v>474</v>
      </c>
      <c r="B136" t="str">
        <f t="shared" si="4"/>
        <v>, Total_Revolving_Available_image__c</v>
      </c>
    </row>
    <row r="137" spans="1:2" x14ac:dyDescent="0.25">
      <c r="A137" t="s">
        <v>475</v>
      </c>
      <c r="B137" t="str">
        <f t="shared" si="4"/>
        <v>, Test_Opp__c</v>
      </c>
    </row>
    <row r="138" spans="1:2" x14ac:dyDescent="0.25">
      <c r="A138" t="s">
        <v>476</v>
      </c>
      <c r="B138" t="str">
        <f t="shared" si="4"/>
        <v>, Goals2__c</v>
      </c>
    </row>
    <row r="139" spans="1:2" x14ac:dyDescent="0.25">
      <c r="A139" t="s">
        <v>477</v>
      </c>
      <c r="B139" t="str">
        <f t="shared" si="4"/>
        <v>, Prefill_URL__c</v>
      </c>
    </row>
    <row r="140" spans="1:2" x14ac:dyDescent="0.25">
      <c r="A140" t="s">
        <v>478</v>
      </c>
      <c r="B140" t="str">
        <f t="shared" si="4"/>
        <v>, Opportunity_URL__c</v>
      </c>
    </row>
    <row r="141" spans="1:2" x14ac:dyDescent="0.25">
      <c r="A141" t="s">
        <v>479</v>
      </c>
      <c r="B141" t="str">
        <f t="shared" si="4"/>
        <v>, Data_Warehouse_ID__c</v>
      </c>
    </row>
    <row r="142" spans="1:2" x14ac:dyDescent="0.25">
      <c r="A142" t="s">
        <v>308</v>
      </c>
      <c r="B142" t="str">
        <f t="shared" si="4"/>
        <v>, leaseOddDaysIntTaxInd</v>
      </c>
    </row>
    <row r="143" spans="1:2" x14ac:dyDescent="0.25">
      <c r="A143" t="s">
        <v>242</v>
      </c>
      <c r="B143" t="str">
        <f t="shared" si="4"/>
        <v>, leaseOfficerCode</v>
      </c>
    </row>
    <row r="144" spans="1:2" x14ac:dyDescent="0.25">
      <c r="A144" t="s">
        <v>231</v>
      </c>
      <c r="B144" t="str">
        <f t="shared" si="4"/>
        <v>, leaseOrgCustomerID</v>
      </c>
    </row>
    <row r="145" spans="1:2" x14ac:dyDescent="0.25">
      <c r="A145" t="s">
        <v>295</v>
      </c>
      <c r="B145" t="str">
        <f t="shared" si="4"/>
        <v>, leaseOrigBasePmtAmt</v>
      </c>
    </row>
    <row r="146" spans="1:2" x14ac:dyDescent="0.25">
      <c r="A146" t="s">
        <v>300</v>
      </c>
      <c r="B146" t="str">
        <f t="shared" si="4"/>
        <v>, leaseOrigCreationDate</v>
      </c>
    </row>
    <row r="147" spans="1:2" x14ac:dyDescent="0.25">
      <c r="A147" t="s">
        <v>301</v>
      </c>
      <c r="B147" t="str">
        <f t="shared" si="4"/>
        <v>, leaseOrigEndDate</v>
      </c>
    </row>
    <row r="148" spans="1:2" x14ac:dyDescent="0.25">
      <c r="A148" t="s">
        <v>275</v>
      </c>
      <c r="B148" t="str">
        <f t="shared" si="4"/>
        <v>, leaseOriginalAmount</v>
      </c>
    </row>
    <row r="149" spans="1:2" x14ac:dyDescent="0.25">
      <c r="A149" t="s">
        <v>296</v>
      </c>
      <c r="B149" t="str">
        <f t="shared" si="4"/>
        <v>, leaseOrigPmtsRecBalAmt</v>
      </c>
    </row>
    <row r="150" spans="1:2" x14ac:dyDescent="0.25">
      <c r="A150" t="s">
        <v>292</v>
      </c>
      <c r="B150" t="str">
        <f t="shared" si="4"/>
        <v>, leaseOtherDeliveryFee1</v>
      </c>
    </row>
    <row r="151" spans="1:2" x14ac:dyDescent="0.25">
      <c r="A151" t="s">
        <v>344</v>
      </c>
      <c r="B151" t="str">
        <f t="shared" si="4"/>
        <v>, leaseOtherDepositPaidLTDAmt</v>
      </c>
    </row>
    <row r="152" spans="1:2" x14ac:dyDescent="0.25">
      <c r="A152" t="s">
        <v>343</v>
      </c>
      <c r="B152" t="str">
        <f t="shared" si="4"/>
        <v>, leaseOtherDepositPaidPrevYTDAmt</v>
      </c>
    </row>
    <row r="153" spans="1:2" x14ac:dyDescent="0.25">
      <c r="A153" t="s">
        <v>342</v>
      </c>
      <c r="B153" t="str">
        <f t="shared" si="4"/>
        <v>, leaseOtherDepositPmtAmt</v>
      </c>
    </row>
    <row r="154" spans="1:2" x14ac:dyDescent="0.25">
      <c r="A154" t="s">
        <v>341</v>
      </c>
      <c r="B154" t="str">
        <f t="shared" si="4"/>
        <v>, leaseOtherDepositRecAmt</v>
      </c>
    </row>
    <row r="155" spans="1:2" x14ac:dyDescent="0.25">
      <c r="A155" t="s">
        <v>287</v>
      </c>
      <c r="B155" t="str">
        <f t="shared" si="4"/>
        <v>, leasePassThruFeeBal</v>
      </c>
    </row>
    <row r="156" spans="1:2" x14ac:dyDescent="0.25">
      <c r="A156" t="s">
        <v>269</v>
      </c>
      <c r="B156" t="str">
        <f t="shared" si="4"/>
        <v>, leasePastDueDate</v>
      </c>
    </row>
    <row r="157" spans="1:2" x14ac:dyDescent="0.25">
      <c r="A157" t="s">
        <v>265</v>
      </c>
      <c r="B157" t="str">
        <f t="shared" si="4"/>
        <v>, leasePastDueDays</v>
      </c>
    </row>
    <row r="158" spans="1:2" x14ac:dyDescent="0.25">
      <c r="A158" t="s">
        <v>283</v>
      </c>
      <c r="B158" t="str">
        <f t="shared" si="4"/>
        <v>, leasePaymentAmt</v>
      </c>
    </row>
    <row r="159" spans="1:2" x14ac:dyDescent="0.25">
      <c r="A159" t="s">
        <v>235</v>
      </c>
      <c r="B159" t="str">
        <f t="shared" si="4"/>
        <v>, leasePaymentCalcCode</v>
      </c>
    </row>
    <row r="160" spans="1:2" x14ac:dyDescent="0.25">
      <c r="A160" t="s">
        <v>236</v>
      </c>
      <c r="B160" t="str">
        <f t="shared" si="4"/>
        <v>, leasePaymentMethodCode</v>
      </c>
    </row>
    <row r="161" spans="1:2" x14ac:dyDescent="0.25">
      <c r="A161" t="s">
        <v>232</v>
      </c>
      <c r="B161" t="str">
        <f t="shared" si="4"/>
        <v>, leasePaySchID</v>
      </c>
    </row>
    <row r="162" spans="1:2" x14ac:dyDescent="0.25">
      <c r="A162" t="s">
        <v>241</v>
      </c>
      <c r="B162" t="str">
        <f t="shared" si="4"/>
        <v>, leasePerformingStatus</v>
      </c>
    </row>
    <row r="163" spans="1:2" x14ac:dyDescent="0.25">
      <c r="A163" t="s">
        <v>271</v>
      </c>
      <c r="B163" t="str">
        <f t="shared" si="4"/>
        <v>, leasePerformingStatusChangeDate</v>
      </c>
    </row>
    <row r="164" spans="1:2" x14ac:dyDescent="0.25">
      <c r="A164" t="s">
        <v>240</v>
      </c>
      <c r="B164" t="str">
        <f t="shared" si="4"/>
        <v>, leasePmtAllocationOrder</v>
      </c>
    </row>
    <row r="165" spans="1:2" x14ac:dyDescent="0.25">
      <c r="A165" t="s">
        <v>346</v>
      </c>
      <c r="B165" t="str">
        <f t="shared" si="4"/>
        <v>, leasePmtNonTaxableAmt</v>
      </c>
    </row>
    <row r="166" spans="1:2" x14ac:dyDescent="0.25">
      <c r="A166" t="s">
        <v>382</v>
      </c>
      <c r="B166" t="str">
        <f t="shared" si="4"/>
        <v>, leasePmtOverageAllocOrder</v>
      </c>
    </row>
    <row r="167" spans="1:2" x14ac:dyDescent="0.25">
      <c r="A167" t="s">
        <v>267</v>
      </c>
      <c r="B167" t="str">
        <f t="shared" si="4"/>
        <v>, leasePmtsMadeCtr</v>
      </c>
    </row>
    <row r="168" spans="1:2" x14ac:dyDescent="0.25">
      <c r="A168" t="s">
        <v>239</v>
      </c>
      <c r="B168" t="str">
        <f t="shared" si="4"/>
        <v>, leasePmtSplitCode</v>
      </c>
    </row>
    <row r="169" spans="1:2" x14ac:dyDescent="0.25">
      <c r="A169" t="s">
        <v>297</v>
      </c>
      <c r="B169" t="str">
        <f t="shared" si="4"/>
        <v>, leasePmtsRecBalAmt</v>
      </c>
    </row>
    <row r="170" spans="1:2" x14ac:dyDescent="0.25">
      <c r="A170" t="s">
        <v>266</v>
      </c>
      <c r="B170" t="str">
        <f t="shared" si="4"/>
        <v>, leasePmtsRemainingCtr</v>
      </c>
    </row>
    <row r="171" spans="1:2" x14ac:dyDescent="0.25">
      <c r="A171" t="s">
        <v>345</v>
      </c>
      <c r="B171" t="str">
        <f t="shared" si="4"/>
        <v>, leasePmtTaxableAmt</v>
      </c>
    </row>
    <row r="172" spans="1:2" x14ac:dyDescent="0.25">
      <c r="A172" t="s">
        <v>304</v>
      </c>
      <c r="B172" t="str">
        <f t="shared" si="4"/>
        <v>, leasePostOtherDepositAsFinalPmtInd</v>
      </c>
    </row>
    <row r="173" spans="1:2" x14ac:dyDescent="0.25">
      <c r="A173" t="s">
        <v>330</v>
      </c>
      <c r="B173" t="str">
        <f t="shared" si="4"/>
        <v>, leasePrepaidArFeeDueDate</v>
      </c>
    </row>
    <row r="174" spans="1:2" x14ac:dyDescent="0.25">
      <c r="A174" t="s">
        <v>302</v>
      </c>
      <c r="B174" t="str">
        <f t="shared" si="4"/>
        <v>, leasePrepaidArFeeInd</v>
      </c>
    </row>
    <row r="175" spans="1:2" x14ac:dyDescent="0.25">
      <c r="A175" t="s">
        <v>381</v>
      </c>
      <c r="B175" t="str">
        <f t="shared" si="4"/>
        <v>, leasePrepaidBHLimit</v>
      </c>
    </row>
    <row r="176" spans="1:2" x14ac:dyDescent="0.25">
      <c r="A176" t="s">
        <v>274</v>
      </c>
      <c r="B176" t="str">
        <f t="shared" si="4"/>
        <v>, leasePreTaxYieldRate</v>
      </c>
    </row>
    <row r="177" spans="1:2" x14ac:dyDescent="0.25">
      <c r="A177" t="s">
        <v>277</v>
      </c>
      <c r="B177" t="str">
        <f t="shared" si="4"/>
        <v>, leasePrevBillBalAmt</v>
      </c>
    </row>
    <row r="178" spans="1:2" x14ac:dyDescent="0.25">
      <c r="A178" t="s">
        <v>282</v>
      </c>
      <c r="B178" t="str">
        <f t="shared" si="4"/>
        <v>, leasePrevBillInterestAmt</v>
      </c>
    </row>
    <row r="179" spans="1:2" x14ac:dyDescent="0.25">
      <c r="A179" t="s">
        <v>278</v>
      </c>
      <c r="B179" t="str">
        <f t="shared" si="4"/>
        <v>, leasePrevBillPrincipalAmt</v>
      </c>
    </row>
    <row r="180" spans="1:2" x14ac:dyDescent="0.25">
      <c r="A180" t="s">
        <v>276</v>
      </c>
      <c r="B180" t="str">
        <f t="shared" si="4"/>
        <v>, leasePrincipalBalAmt</v>
      </c>
    </row>
    <row r="181" spans="1:2" x14ac:dyDescent="0.25">
      <c r="A181" t="s">
        <v>264</v>
      </c>
      <c r="B181" t="str">
        <f t="shared" si="4"/>
        <v>, leasePrintDay</v>
      </c>
    </row>
    <row r="182" spans="1:2" x14ac:dyDescent="0.25">
      <c r="A182" t="s">
        <v>238</v>
      </c>
      <c r="B182" t="str">
        <f t="shared" si="4"/>
        <v>, leaseProcessCode</v>
      </c>
    </row>
    <row r="183" spans="1:2" x14ac:dyDescent="0.25">
      <c r="A183" t="s">
        <v>252</v>
      </c>
      <c r="B183" t="str">
        <f t="shared" si="4"/>
        <v>, leaseProduceBillInvoice</v>
      </c>
    </row>
    <row r="184" spans="1:2" x14ac:dyDescent="0.25">
      <c r="A184" t="s">
        <v>286</v>
      </c>
      <c r="B184" t="str">
        <f t="shared" si="4"/>
        <v>, leasePurchaseFee</v>
      </c>
    </row>
    <row r="185" spans="1:2" x14ac:dyDescent="0.25">
      <c r="A185" t="s">
        <v>294</v>
      </c>
      <c r="B185" t="str">
        <f t="shared" si="4"/>
        <v>, leasePurchOptionAmt</v>
      </c>
    </row>
    <row r="186" spans="1:2" x14ac:dyDescent="0.25">
      <c r="A186" t="s">
        <v>273</v>
      </c>
      <c r="B186" t="str">
        <f t="shared" si="4"/>
        <v>, leaseRate</v>
      </c>
    </row>
    <row r="187" spans="1:2" x14ac:dyDescent="0.25">
      <c r="A187" t="s">
        <v>307</v>
      </c>
      <c r="B187" t="str">
        <f t="shared" si="4"/>
        <v>, leaseRebateDealerID</v>
      </c>
    </row>
    <row r="188" spans="1:2" x14ac:dyDescent="0.25">
      <c r="A188" t="s">
        <v>247</v>
      </c>
      <c r="B188" t="str">
        <f t="shared" si="4"/>
        <v>, leaseRebateOptionCode</v>
      </c>
    </row>
    <row r="189" spans="1:2" x14ac:dyDescent="0.25">
      <c r="A189" t="s">
        <v>290</v>
      </c>
      <c r="B189" t="str">
        <f t="shared" si="4"/>
        <v>, leaseRecondDepositAmt</v>
      </c>
    </row>
    <row r="190" spans="1:2" x14ac:dyDescent="0.25">
      <c r="A190" t="s">
        <v>332</v>
      </c>
      <c r="B190" t="str">
        <f t="shared" si="4"/>
        <v>, leaseRecondDepositPrepaidAmt</v>
      </c>
    </row>
    <row r="191" spans="1:2" x14ac:dyDescent="0.25">
      <c r="A191" t="s">
        <v>291</v>
      </c>
      <c r="B191" t="str">
        <f t="shared" si="4"/>
        <v>, leaseRegistrationFeeAmt</v>
      </c>
    </row>
    <row r="192" spans="1:2" x14ac:dyDescent="0.25">
      <c r="A192" t="s">
        <v>243</v>
      </c>
      <c r="B192" t="str">
        <f t="shared" si="4"/>
        <v>, leaseRelationOfficerCode</v>
      </c>
    </row>
    <row r="193" spans="1:2" x14ac:dyDescent="0.25">
      <c r="A193" t="s">
        <v>260</v>
      </c>
      <c r="B193" t="str">
        <f t="shared" si="4"/>
        <v>, leaseRemitCapSalesTaxInd</v>
      </c>
    </row>
    <row r="194" spans="1:2" x14ac:dyDescent="0.25">
      <c r="A194" t="s">
        <v>305</v>
      </c>
      <c r="B194" t="str">
        <f t="shared" si="4"/>
        <v>, leaseRemitToAddressID</v>
      </c>
    </row>
    <row r="195" spans="1:2" x14ac:dyDescent="0.25">
      <c r="A195" t="s">
        <v>293</v>
      </c>
      <c r="B195" t="str">
        <f t="shared" si="4"/>
        <v>, leaseRentChargeAmt</v>
      </c>
    </row>
    <row r="196" spans="1:2" x14ac:dyDescent="0.25">
      <c r="A196" t="s">
        <v>248</v>
      </c>
      <c r="B196" t="str">
        <f t="shared" si="4"/>
        <v>, leaseReportCode1</v>
      </c>
    </row>
    <row r="197" spans="1:2" x14ac:dyDescent="0.25">
      <c r="A197" t="s">
        <v>249</v>
      </c>
      <c r="B197" t="str">
        <f t="shared" si="4"/>
        <v>, leaseReportCode2</v>
      </c>
    </row>
    <row r="198" spans="1:2" x14ac:dyDescent="0.25">
      <c r="A198" t="s">
        <v>250</v>
      </c>
      <c r="B198" t="str">
        <f t="shared" ref="B198:B261" si="5">", " &amp; A198</f>
        <v>, leaseReportCode3</v>
      </c>
    </row>
    <row r="199" spans="1:2" x14ac:dyDescent="0.25">
      <c r="A199" t="s">
        <v>251</v>
      </c>
      <c r="B199" t="str">
        <f t="shared" si="5"/>
        <v>, leaseReportCode4</v>
      </c>
    </row>
    <row r="200" spans="1:2" x14ac:dyDescent="0.25">
      <c r="A200" t="s">
        <v>279</v>
      </c>
      <c r="B200" t="str">
        <f t="shared" si="5"/>
        <v>, leaseResidualAmt</v>
      </c>
    </row>
    <row r="201" spans="1:2" x14ac:dyDescent="0.25">
      <c r="A201" t="s">
        <v>262</v>
      </c>
      <c r="B201" t="str">
        <f t="shared" si="5"/>
        <v>, leaseResidualInsCapInd</v>
      </c>
    </row>
    <row r="202" spans="1:2" x14ac:dyDescent="0.25">
      <c r="A202" t="s">
        <v>359</v>
      </c>
      <c r="B202" t="str">
        <f t="shared" si="5"/>
        <v>, leaseRevolvingCode</v>
      </c>
    </row>
    <row r="203" spans="1:2" x14ac:dyDescent="0.25">
      <c r="A203" t="s">
        <v>244</v>
      </c>
      <c r="B203" t="str">
        <f t="shared" si="5"/>
        <v>, leaseRiskCode</v>
      </c>
    </row>
    <row r="204" spans="1:2" x14ac:dyDescent="0.25">
      <c r="A204" t="s">
        <v>270</v>
      </c>
      <c r="B204" t="str">
        <f t="shared" si="5"/>
        <v>, leaseRiskDate</v>
      </c>
    </row>
    <row r="205" spans="1:2" x14ac:dyDescent="0.25">
      <c r="A205" t="s">
        <v>245</v>
      </c>
      <c r="B205" t="str">
        <f t="shared" si="5"/>
        <v>, leaseRiskSource</v>
      </c>
    </row>
    <row r="206" spans="1:2" x14ac:dyDescent="0.25">
      <c r="A206" t="s">
        <v>254</v>
      </c>
      <c r="B206" t="str">
        <f t="shared" si="5"/>
        <v>, leaseSalesTaxExemptInd</v>
      </c>
    </row>
    <row r="207" spans="1:2" x14ac:dyDescent="0.25">
      <c r="A207" t="s">
        <v>284</v>
      </c>
      <c r="B207" t="str">
        <f t="shared" si="5"/>
        <v>, leaseSalesTaxPmtAmt</v>
      </c>
    </row>
    <row r="208" spans="1:2" x14ac:dyDescent="0.25">
      <c r="A208" t="s">
        <v>253</v>
      </c>
      <c r="B208" t="str">
        <f t="shared" si="5"/>
        <v>, leaseSalesTaxPrepaidInd</v>
      </c>
    </row>
    <row r="209" spans="1:2" x14ac:dyDescent="0.25">
      <c r="A209" t="s">
        <v>309</v>
      </c>
      <c r="B209" t="str">
        <f t="shared" si="5"/>
        <v>, leaseSecEffectDate</v>
      </c>
    </row>
    <row r="210" spans="1:2" x14ac:dyDescent="0.25">
      <c r="A210" t="s">
        <v>303</v>
      </c>
      <c r="B210" t="str">
        <f t="shared" si="5"/>
        <v>, leaseSecPoolCode</v>
      </c>
    </row>
    <row r="211" spans="1:2" x14ac:dyDescent="0.25">
      <c r="A211" t="s">
        <v>310</v>
      </c>
      <c r="B211" t="str">
        <f t="shared" si="5"/>
        <v>, leaseSecPostDate</v>
      </c>
    </row>
    <row r="212" spans="1:2" x14ac:dyDescent="0.25">
      <c r="A212" t="s">
        <v>289</v>
      </c>
      <c r="B212" t="str">
        <f t="shared" si="5"/>
        <v>, leaseSecurityDepositAmt</v>
      </c>
    </row>
    <row r="213" spans="1:2" x14ac:dyDescent="0.25">
      <c r="A213" t="s">
        <v>372</v>
      </c>
      <c r="B213" t="str">
        <f t="shared" si="5"/>
        <v>, leaseSecurityDepositMaxBillAmt</v>
      </c>
    </row>
    <row r="214" spans="1:2" x14ac:dyDescent="0.25">
      <c r="A214" t="s">
        <v>340</v>
      </c>
      <c r="B214" t="str">
        <f t="shared" si="5"/>
        <v>, leaseSecurityDepositPaidLTDAmt</v>
      </c>
    </row>
    <row r="215" spans="1:2" x14ac:dyDescent="0.25">
      <c r="A215" t="s">
        <v>336</v>
      </c>
      <c r="B215" t="str">
        <f t="shared" si="5"/>
        <v>, leaseSecurityDepositPaidMTDAmt</v>
      </c>
    </row>
    <row r="216" spans="1:2" x14ac:dyDescent="0.25">
      <c r="A216" t="s">
        <v>337</v>
      </c>
      <c r="B216" t="str">
        <f t="shared" si="5"/>
        <v>, leaseSecurityDepositPaidPrevMTDAmt</v>
      </c>
    </row>
    <row r="217" spans="1:2" x14ac:dyDescent="0.25">
      <c r="A217" t="s">
        <v>339</v>
      </c>
      <c r="B217" t="str">
        <f t="shared" si="5"/>
        <v>, leaseSecurityDepositPaidPrevYTDAmt</v>
      </c>
    </row>
    <row r="218" spans="1:2" x14ac:dyDescent="0.25">
      <c r="A218" t="s">
        <v>338</v>
      </c>
      <c r="B218" t="str">
        <f t="shared" si="5"/>
        <v>, leaseSecurityDepositPaidYTDAmt</v>
      </c>
    </row>
    <row r="219" spans="1:2" x14ac:dyDescent="0.25">
      <c r="A219" t="s">
        <v>335</v>
      </c>
      <c r="B219" t="str">
        <f t="shared" si="5"/>
        <v>, leaseSecurityDepositPmtAmt</v>
      </c>
    </row>
    <row r="220" spans="1:2" x14ac:dyDescent="0.25">
      <c r="A220" t="s">
        <v>331</v>
      </c>
      <c r="B220" t="str">
        <f t="shared" si="5"/>
        <v>, leaseSecurityDepositPrepaidAmt</v>
      </c>
    </row>
    <row r="221" spans="1:2" x14ac:dyDescent="0.25">
      <c r="A221" t="s">
        <v>334</v>
      </c>
      <c r="B221" t="str">
        <f t="shared" si="5"/>
        <v>, leaseSecurityDepositRecAmt</v>
      </c>
    </row>
    <row r="222" spans="1:2" x14ac:dyDescent="0.25">
      <c r="A222" t="s">
        <v>246</v>
      </c>
      <c r="B222" t="str">
        <f t="shared" si="5"/>
        <v>, leaseSICCode</v>
      </c>
    </row>
    <row r="223" spans="1:2" x14ac:dyDescent="0.25">
      <c r="A223" t="s">
        <v>352</v>
      </c>
      <c r="B223" t="str">
        <f t="shared" si="5"/>
        <v>, leaseSkipAutoCostCreationInd</v>
      </c>
    </row>
    <row r="224" spans="1:2" x14ac:dyDescent="0.25">
      <c r="A224" t="s">
        <v>257</v>
      </c>
      <c r="B224" t="str">
        <f t="shared" si="5"/>
        <v>, leaseSkipFirstPmtInd</v>
      </c>
    </row>
    <row r="225" spans="1:2" x14ac:dyDescent="0.25">
      <c r="A225" t="s">
        <v>237</v>
      </c>
      <c r="B225" t="str">
        <f t="shared" si="5"/>
        <v>, leaseStatus</v>
      </c>
    </row>
    <row r="226" spans="1:2" x14ac:dyDescent="0.25">
      <c r="A226" t="s">
        <v>255</v>
      </c>
      <c r="B226" t="str">
        <f t="shared" si="5"/>
        <v>, leaseStopAllCorrespondence</v>
      </c>
    </row>
    <row r="227" spans="1:2" x14ac:dyDescent="0.25">
      <c r="A227" t="s">
        <v>256</v>
      </c>
      <c r="B227" t="str">
        <f t="shared" si="5"/>
        <v>, leaseSubLeaseInd</v>
      </c>
    </row>
    <row r="228" spans="1:2" x14ac:dyDescent="0.25">
      <c r="A228" t="s">
        <v>298</v>
      </c>
      <c r="B228" t="str">
        <f t="shared" si="5"/>
        <v>, leaseSuspendProcessingInd</v>
      </c>
    </row>
    <row r="229" spans="1:2" x14ac:dyDescent="0.25">
      <c r="A229" t="s">
        <v>263</v>
      </c>
      <c r="B229" t="str">
        <f t="shared" si="5"/>
        <v>, leaseTerm</v>
      </c>
    </row>
    <row r="230" spans="1:2" x14ac:dyDescent="0.25">
      <c r="A230" t="s">
        <v>259</v>
      </c>
      <c r="B230" t="str">
        <f t="shared" si="5"/>
        <v>, leaseTermChargeCapFeeInd</v>
      </c>
    </row>
    <row r="231" spans="1:2" x14ac:dyDescent="0.25">
      <c r="A231" t="s">
        <v>258</v>
      </c>
      <c r="B231" t="str">
        <f t="shared" si="5"/>
        <v>, leaseTermChargeIDCInd</v>
      </c>
    </row>
    <row r="232" spans="1:2" x14ac:dyDescent="0.25">
      <c r="A232" t="s">
        <v>268</v>
      </c>
      <c r="B232" t="str">
        <f t="shared" si="5"/>
        <v>, leaseTerminationDate</v>
      </c>
    </row>
    <row r="233" spans="1:2" x14ac:dyDescent="0.25">
      <c r="A233" t="s">
        <v>348</v>
      </c>
      <c r="B233" t="str">
        <f t="shared" si="5"/>
        <v>, leaseTerminationTypeCode</v>
      </c>
    </row>
    <row r="234" spans="1:2" x14ac:dyDescent="0.25">
      <c r="A234" t="s">
        <v>299</v>
      </c>
      <c r="B234" t="str">
        <f t="shared" si="5"/>
        <v>, leaseTermMonths</v>
      </c>
    </row>
    <row r="235" spans="1:2" x14ac:dyDescent="0.25">
      <c r="A235" t="s">
        <v>280</v>
      </c>
      <c r="B235" t="str">
        <f t="shared" si="5"/>
        <v>, leaseTotalDiscountAmt</v>
      </c>
    </row>
    <row r="236" spans="1:2" x14ac:dyDescent="0.25">
      <c r="A236" t="s">
        <v>285</v>
      </c>
      <c r="B236" t="str">
        <f t="shared" si="5"/>
        <v>, leaseTotalPmtAmt</v>
      </c>
    </row>
    <row r="237" spans="1:2" x14ac:dyDescent="0.25">
      <c r="A237" t="s">
        <v>288</v>
      </c>
      <c r="B237" t="str">
        <f t="shared" si="5"/>
        <v>, leaseTotalPurchAmt</v>
      </c>
    </row>
    <row r="238" spans="1:2" x14ac:dyDescent="0.25">
      <c r="A238" t="s">
        <v>306</v>
      </c>
      <c r="B238" t="str">
        <f t="shared" si="5"/>
        <v>, leaseTotalPurchNontaxAmt</v>
      </c>
    </row>
    <row r="239" spans="1:2" x14ac:dyDescent="0.25">
      <c r="A239" t="s">
        <v>234</v>
      </c>
      <c r="B239" t="str">
        <f t="shared" si="5"/>
        <v>, leaseTypeCode</v>
      </c>
    </row>
    <row r="240" spans="1:2" x14ac:dyDescent="0.25">
      <c r="A240" t="s">
        <v>281</v>
      </c>
      <c r="B240" t="str">
        <f t="shared" si="5"/>
        <v>, leaseUnearnedDiscountAmt</v>
      </c>
    </row>
    <row r="241" spans="1:2" x14ac:dyDescent="0.25">
      <c r="A241" t="s">
        <v>272</v>
      </c>
      <c r="B241" t="str">
        <f t="shared" si="5"/>
        <v>, leaseUpdateDate</v>
      </c>
    </row>
    <row r="242" spans="1:2" x14ac:dyDescent="0.25">
      <c r="A242" t="s">
        <v>233</v>
      </c>
      <c r="B242" t="str">
        <f t="shared" si="5"/>
        <v>, leaseUpdateUserID</v>
      </c>
    </row>
    <row r="243" spans="1:2" x14ac:dyDescent="0.25">
      <c r="A243" t="s">
        <v>261</v>
      </c>
      <c r="B243" t="str">
        <f t="shared" si="5"/>
        <v>, leaseVariablePmtInd</v>
      </c>
    </row>
    <row r="244" spans="1:2" x14ac:dyDescent="0.25">
      <c r="A244" t="s">
        <v>347</v>
      </c>
      <c r="B244" t="str">
        <f t="shared" si="5"/>
        <v>, leaseYieldRate</v>
      </c>
    </row>
    <row r="245" spans="1:2" x14ac:dyDescent="0.25">
      <c r="A245" t="s">
        <v>366</v>
      </c>
      <c r="B245" t="str">
        <f t="shared" si="5"/>
        <v>, U_Lease_1st_Assumption_Date</v>
      </c>
    </row>
    <row r="246" spans="1:2" x14ac:dyDescent="0.25">
      <c r="A246" t="s">
        <v>368</v>
      </c>
      <c r="B246" t="str">
        <f t="shared" si="5"/>
        <v>, U_Lease_2nd_Assmptn_Driver</v>
      </c>
    </row>
    <row r="247" spans="1:2" x14ac:dyDescent="0.25">
      <c r="A247" t="s">
        <v>370</v>
      </c>
      <c r="B247" t="str">
        <f t="shared" si="5"/>
        <v>, U_Lease_3rd_Cstmr_ID</v>
      </c>
    </row>
    <row r="248" spans="1:2" x14ac:dyDescent="0.25">
      <c r="A248" t="s">
        <v>313</v>
      </c>
      <c r="B248" t="str">
        <f t="shared" si="5"/>
        <v>, U_Lease_Admin_Fee</v>
      </c>
    </row>
    <row r="249" spans="1:2" x14ac:dyDescent="0.25">
      <c r="A249" t="s">
        <v>350</v>
      </c>
      <c r="B249" t="str">
        <f t="shared" si="5"/>
        <v>, U_Lease_Balloon_Loan</v>
      </c>
    </row>
    <row r="250" spans="1:2" x14ac:dyDescent="0.25">
      <c r="A250" t="s">
        <v>395</v>
      </c>
      <c r="B250" t="str">
        <f t="shared" si="5"/>
        <v>, U_Lease_CalCAPEnrollDate</v>
      </c>
    </row>
    <row r="251" spans="1:2" x14ac:dyDescent="0.25">
      <c r="A251" t="s">
        <v>394</v>
      </c>
      <c r="B251" t="str">
        <f t="shared" si="5"/>
        <v>, U_Lease_CalCAPFundDate</v>
      </c>
    </row>
    <row r="252" spans="1:2" x14ac:dyDescent="0.25">
      <c r="A252" t="s">
        <v>388</v>
      </c>
      <c r="B252" t="str">
        <f t="shared" si="5"/>
        <v>, U_Lease_CalCAPNum</v>
      </c>
    </row>
    <row r="253" spans="1:2" x14ac:dyDescent="0.25">
      <c r="A253" t="s">
        <v>377</v>
      </c>
      <c r="B253" t="str">
        <f t="shared" si="5"/>
        <v>, U_Lease_CalCAPPerc</v>
      </c>
    </row>
    <row r="254" spans="1:2" x14ac:dyDescent="0.25">
      <c r="A254" t="s">
        <v>376</v>
      </c>
      <c r="B254" t="str">
        <f t="shared" si="5"/>
        <v>, U_Lease_cALCAPReserve</v>
      </c>
    </row>
    <row r="255" spans="1:2" x14ac:dyDescent="0.25">
      <c r="A255" t="s">
        <v>387</v>
      </c>
      <c r="B255" t="str">
        <f t="shared" si="5"/>
        <v>, U_Lease_CalCAPStatus</v>
      </c>
    </row>
    <row r="256" spans="1:2" x14ac:dyDescent="0.25">
      <c r="A256" t="s">
        <v>325</v>
      </c>
      <c r="B256" t="str">
        <f t="shared" si="5"/>
        <v>, U_Lease_Cap_Reduction</v>
      </c>
    </row>
    <row r="257" spans="1:2" x14ac:dyDescent="0.25">
      <c r="A257" t="s">
        <v>333</v>
      </c>
      <c r="B257" t="str">
        <f t="shared" si="5"/>
        <v>, U_Lease_Cash_Yield</v>
      </c>
    </row>
    <row r="258" spans="1:2" x14ac:dyDescent="0.25">
      <c r="A258" t="s">
        <v>392</v>
      </c>
      <c r="B258" t="str">
        <f t="shared" si="5"/>
        <v>, U_Lease_ClaimAmt</v>
      </c>
    </row>
    <row r="259" spans="1:2" x14ac:dyDescent="0.25">
      <c r="A259" t="s">
        <v>393</v>
      </c>
      <c r="B259" t="str">
        <f t="shared" si="5"/>
        <v>, U_Lease_ClaimDate</v>
      </c>
    </row>
    <row r="260" spans="1:2" x14ac:dyDescent="0.25">
      <c r="A260" t="s">
        <v>328</v>
      </c>
      <c r="B260" t="str">
        <f t="shared" si="5"/>
        <v>, U_Lease_Commission</v>
      </c>
    </row>
    <row r="261" spans="1:2" x14ac:dyDescent="0.25">
      <c r="A261" t="s">
        <v>320</v>
      </c>
      <c r="B261" t="str">
        <f t="shared" si="5"/>
        <v>, U_Lease_Contract_Fee_Detail</v>
      </c>
    </row>
    <row r="262" spans="1:2" x14ac:dyDescent="0.25">
      <c r="A262" t="s">
        <v>398</v>
      </c>
      <c r="B262" t="str">
        <f t="shared" ref="B262:B310" si="6">", " &amp; A262</f>
        <v>, U_Lease_contractNote</v>
      </c>
    </row>
    <row r="263" spans="1:2" x14ac:dyDescent="0.25">
      <c r="A263" t="s">
        <v>369</v>
      </c>
      <c r="B263" t="str">
        <f t="shared" si="6"/>
        <v>, U_Lease_Current_Cstmr_ID</v>
      </c>
    </row>
    <row r="264" spans="1:2" x14ac:dyDescent="0.25">
      <c r="A264" t="s">
        <v>315</v>
      </c>
      <c r="B264" t="str">
        <f t="shared" si="6"/>
        <v>, U_Lease_Delivery_Fees_Detail</v>
      </c>
    </row>
    <row r="265" spans="1:2" x14ac:dyDescent="0.25">
      <c r="A265" t="s">
        <v>360</v>
      </c>
      <c r="B265" t="str">
        <f t="shared" si="6"/>
        <v>, U_Lease_Deposit</v>
      </c>
    </row>
    <row r="266" spans="1:2" x14ac:dyDescent="0.25">
      <c r="A266" t="s">
        <v>316</v>
      </c>
      <c r="B266" t="str">
        <f t="shared" si="6"/>
        <v>, U_Lease_Documentation_Fee_Detail</v>
      </c>
    </row>
    <row r="267" spans="1:2" x14ac:dyDescent="0.25">
      <c r="A267" t="s">
        <v>321</v>
      </c>
      <c r="B267" t="str">
        <f t="shared" si="6"/>
        <v>, U_Lease_Down_Pmt_Detail</v>
      </c>
    </row>
    <row r="268" spans="1:2" x14ac:dyDescent="0.25">
      <c r="A268" t="s">
        <v>363</v>
      </c>
      <c r="B268" t="str">
        <f t="shared" si="6"/>
        <v>, U_Lease_Driver_Conversion_Date</v>
      </c>
    </row>
    <row r="269" spans="1:2" x14ac:dyDescent="0.25">
      <c r="A269" t="s">
        <v>356</v>
      </c>
      <c r="B269" t="str">
        <f t="shared" si="6"/>
        <v>, U_Lease_FCAP</v>
      </c>
    </row>
    <row r="270" spans="1:2" x14ac:dyDescent="0.25">
      <c r="A270" t="s">
        <v>373</v>
      </c>
      <c r="B270" t="str">
        <f t="shared" si="6"/>
        <v>, U_Lease_FCAP_Sponsor</v>
      </c>
    </row>
    <row r="271" spans="1:2" x14ac:dyDescent="0.25">
      <c r="A271" t="s">
        <v>362</v>
      </c>
      <c r="B271" t="str">
        <f t="shared" si="6"/>
        <v>, U_Lease_FCAP_Terminal_Nbr</v>
      </c>
    </row>
    <row r="272" spans="1:2" x14ac:dyDescent="0.25">
      <c r="A272" t="s">
        <v>361</v>
      </c>
      <c r="B272" t="str">
        <f t="shared" si="6"/>
        <v>, U_Lease_FCAP_Unit_No</v>
      </c>
    </row>
    <row r="273" spans="1:2" x14ac:dyDescent="0.25">
      <c r="A273" t="s">
        <v>384</v>
      </c>
      <c r="B273" t="str">
        <f t="shared" si="6"/>
        <v>, U_Lease_FileLocation</v>
      </c>
    </row>
    <row r="274" spans="1:2" x14ac:dyDescent="0.25">
      <c r="A274" t="s">
        <v>319</v>
      </c>
      <c r="B274" t="str">
        <f t="shared" si="6"/>
        <v>, U_Lease_GAP_MAP_Detail</v>
      </c>
    </row>
    <row r="275" spans="1:2" x14ac:dyDescent="0.25">
      <c r="A275" t="s">
        <v>312</v>
      </c>
      <c r="B275" t="str">
        <f t="shared" si="6"/>
        <v>, U_Lease_GPS</v>
      </c>
    </row>
    <row r="276" spans="1:2" x14ac:dyDescent="0.25">
      <c r="A276" t="s">
        <v>329</v>
      </c>
      <c r="B276" t="str">
        <f t="shared" si="6"/>
        <v>, U_Lease_GPS_Serial</v>
      </c>
    </row>
    <row r="277" spans="1:2" x14ac:dyDescent="0.25">
      <c r="A277" t="s">
        <v>351</v>
      </c>
      <c r="B277" t="str">
        <f t="shared" si="6"/>
        <v>, U_Lease_Grant</v>
      </c>
    </row>
    <row r="278" spans="1:2" x14ac:dyDescent="0.25">
      <c r="A278" t="s">
        <v>386</v>
      </c>
      <c r="B278" t="str">
        <f t="shared" si="6"/>
        <v>, U_Lease_Heat_Map_Rating</v>
      </c>
    </row>
    <row r="279" spans="1:2" x14ac:dyDescent="0.25">
      <c r="A279" t="s">
        <v>367</v>
      </c>
      <c r="B279" t="str">
        <f t="shared" si="6"/>
        <v>, U_Lease_Initial_FCAP_Customer_ID</v>
      </c>
    </row>
    <row r="280" spans="1:2" x14ac:dyDescent="0.25">
      <c r="A280" t="s">
        <v>374</v>
      </c>
      <c r="B280" t="str">
        <f t="shared" si="6"/>
        <v>, U_Lease_Invoice_Message</v>
      </c>
    </row>
    <row r="281" spans="1:2" x14ac:dyDescent="0.25">
      <c r="A281" t="s">
        <v>317</v>
      </c>
      <c r="B281" t="str">
        <f t="shared" si="6"/>
        <v>, U_Lease_License</v>
      </c>
    </row>
    <row r="282" spans="1:2" x14ac:dyDescent="0.25">
      <c r="A282" t="s">
        <v>324</v>
      </c>
      <c r="B282" t="str">
        <f t="shared" si="6"/>
        <v>, U_Lease_Net_To_Dealer_Detail</v>
      </c>
    </row>
    <row r="283" spans="1:2" x14ac:dyDescent="0.25">
      <c r="A283" t="s">
        <v>365</v>
      </c>
      <c r="B283" t="str">
        <f t="shared" si="6"/>
        <v>, U_Lease_New_Lease_ID</v>
      </c>
    </row>
    <row r="284" spans="1:2" x14ac:dyDescent="0.25">
      <c r="A284" t="s">
        <v>383</v>
      </c>
      <c r="B284" t="str">
        <f t="shared" si="6"/>
        <v>, U_Lease_PM_TermToActg</v>
      </c>
    </row>
    <row r="285" spans="1:2" x14ac:dyDescent="0.25">
      <c r="A285" t="s">
        <v>375</v>
      </c>
      <c r="B285" t="str">
        <f t="shared" si="6"/>
        <v>, U_Lease_Pmt_Discount_Waiver_requested</v>
      </c>
    </row>
    <row r="286" spans="1:2" x14ac:dyDescent="0.25">
      <c r="A286" t="s">
        <v>355</v>
      </c>
      <c r="B286" t="str">
        <f t="shared" si="6"/>
        <v>, U_Lease_Pricing_Tier</v>
      </c>
    </row>
    <row r="287" spans="1:2" x14ac:dyDescent="0.25">
      <c r="A287" t="s">
        <v>378</v>
      </c>
      <c r="B287" t="str">
        <f t="shared" si="6"/>
        <v>, U_Lease_ProfitShareAmt</v>
      </c>
    </row>
    <row r="288" spans="1:2" x14ac:dyDescent="0.25">
      <c r="A288" t="s">
        <v>358</v>
      </c>
      <c r="B288" t="str">
        <f t="shared" si="6"/>
        <v>, U_Lease_ProfitShareDealerID</v>
      </c>
    </row>
    <row r="289" spans="1:2" x14ac:dyDescent="0.25">
      <c r="A289" t="s">
        <v>380</v>
      </c>
      <c r="B289" t="str">
        <f t="shared" si="6"/>
        <v>, U_Lease_ProfitShareEarnedAmt</v>
      </c>
    </row>
    <row r="290" spans="1:2" x14ac:dyDescent="0.25">
      <c r="A290" t="s">
        <v>357</v>
      </c>
      <c r="B290" t="str">
        <f t="shared" si="6"/>
        <v>, U_Lease_ProfitShareRate</v>
      </c>
    </row>
    <row r="291" spans="1:2" x14ac:dyDescent="0.25">
      <c r="A291" t="s">
        <v>379</v>
      </c>
      <c r="B291" t="str">
        <f t="shared" si="6"/>
        <v>, U_Lease_ProfitShareRemainAmt</v>
      </c>
    </row>
    <row r="292" spans="1:2" x14ac:dyDescent="0.25">
      <c r="A292" t="s">
        <v>349</v>
      </c>
      <c r="B292" t="str">
        <f t="shared" si="6"/>
        <v>, U_Lease_Program</v>
      </c>
    </row>
    <row r="293" spans="1:2" x14ac:dyDescent="0.25">
      <c r="A293" t="s">
        <v>396</v>
      </c>
      <c r="B293" t="str">
        <f t="shared" si="6"/>
        <v>, U_Lease_PromoCode</v>
      </c>
    </row>
    <row r="294" spans="1:2" x14ac:dyDescent="0.25">
      <c r="A294" t="s">
        <v>389</v>
      </c>
      <c r="B294" t="str">
        <f t="shared" si="6"/>
        <v>, U_Lease_recReturned</v>
      </c>
    </row>
    <row r="295" spans="1:2" x14ac:dyDescent="0.25">
      <c r="A295" t="s">
        <v>323</v>
      </c>
      <c r="B295" t="str">
        <f t="shared" si="6"/>
        <v>, U_Lease_Residual_Detail</v>
      </c>
    </row>
    <row r="296" spans="1:2" x14ac:dyDescent="0.25">
      <c r="A296" t="s">
        <v>385</v>
      </c>
      <c r="B296" t="str">
        <f t="shared" si="6"/>
        <v>, U_Lease_Responsible_Collector</v>
      </c>
    </row>
    <row r="297" spans="1:2" x14ac:dyDescent="0.25">
      <c r="A297" t="s">
        <v>314</v>
      </c>
      <c r="B297" t="str">
        <f t="shared" si="6"/>
        <v>, U_Lease_Sales_Tax_Detail</v>
      </c>
    </row>
    <row r="298" spans="1:2" x14ac:dyDescent="0.25">
      <c r="A298" t="s">
        <v>327</v>
      </c>
      <c r="B298" t="str">
        <f t="shared" si="6"/>
        <v>, U_Lease_Security_Deposit_Details</v>
      </c>
    </row>
    <row r="299" spans="1:2" x14ac:dyDescent="0.25">
      <c r="A299" t="s">
        <v>311</v>
      </c>
      <c r="B299" t="str">
        <f t="shared" si="6"/>
        <v>, U_Lease_Selling_Price</v>
      </c>
    </row>
    <row r="300" spans="1:2" x14ac:dyDescent="0.25">
      <c r="A300" t="s">
        <v>390</v>
      </c>
      <c r="B300" t="str">
        <f t="shared" si="6"/>
        <v>, U_Lease_SettlementAmt</v>
      </c>
    </row>
    <row r="301" spans="1:2" x14ac:dyDescent="0.25">
      <c r="A301" t="s">
        <v>391</v>
      </c>
      <c r="B301" t="str">
        <f t="shared" si="6"/>
        <v>, U_Lease_SettlementDate</v>
      </c>
    </row>
    <row r="302" spans="1:2" x14ac:dyDescent="0.25">
      <c r="A302" t="s">
        <v>354</v>
      </c>
      <c r="B302" t="str">
        <f t="shared" si="6"/>
        <v>, U_Lease_Silver_Program</v>
      </c>
    </row>
    <row r="303" spans="1:2" x14ac:dyDescent="0.25">
      <c r="A303" t="s">
        <v>353</v>
      </c>
      <c r="B303" t="str">
        <f t="shared" si="6"/>
        <v>, U_Lease_Sponsor</v>
      </c>
    </row>
    <row r="304" spans="1:2" x14ac:dyDescent="0.25">
      <c r="A304" t="s">
        <v>399</v>
      </c>
      <c r="B304" t="str">
        <f t="shared" si="6"/>
        <v>, U_Lease_SUBI</v>
      </c>
    </row>
    <row r="305" spans="1:2" x14ac:dyDescent="0.25">
      <c r="A305" t="s">
        <v>364</v>
      </c>
      <c r="B305" t="str">
        <f t="shared" si="6"/>
        <v>, U_Lease_Termination_Reason</v>
      </c>
    </row>
    <row r="306" spans="1:2" x14ac:dyDescent="0.25">
      <c r="A306" t="s">
        <v>322</v>
      </c>
      <c r="B306" t="str">
        <f t="shared" si="6"/>
        <v>, U_Lease_Total_Price_Detail</v>
      </c>
    </row>
    <row r="307" spans="1:2" x14ac:dyDescent="0.25">
      <c r="A307" t="s">
        <v>371</v>
      </c>
      <c r="B307" t="str">
        <f t="shared" si="6"/>
        <v>, U_Lease_Total_SDepToCollect</v>
      </c>
    </row>
    <row r="308" spans="1:2" x14ac:dyDescent="0.25">
      <c r="A308" t="s">
        <v>326</v>
      </c>
      <c r="B308" t="str">
        <f t="shared" si="6"/>
        <v>, U_Lease_Total_to_Finance</v>
      </c>
    </row>
    <row r="309" spans="1:2" x14ac:dyDescent="0.25">
      <c r="A309" t="s">
        <v>397</v>
      </c>
      <c r="B309" t="str">
        <f t="shared" si="6"/>
        <v>, U_Lease_VendorFundDate</v>
      </c>
    </row>
    <row r="310" spans="1:2" x14ac:dyDescent="0.25">
      <c r="A310" t="s">
        <v>318</v>
      </c>
      <c r="B310" t="str">
        <f t="shared" si="6"/>
        <v>, U_Lease_Warranty_Detail</v>
      </c>
    </row>
  </sheetData>
  <sortState xmlns:xlrd2="http://schemas.microsoft.com/office/spreadsheetml/2017/richdata2" ref="A4:A208">
    <sortCondition ref="A4"/>
  </sortState>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86A972-C2E8-457A-A1AC-E6DB54C3F61C}">
  <sheetPr codeName="Sheet10"/>
  <dimension ref="A1:A158"/>
  <sheetViews>
    <sheetView workbookViewId="0">
      <selection sqref="A1:A13"/>
    </sheetView>
  </sheetViews>
  <sheetFormatPr defaultRowHeight="15" x14ac:dyDescent="0.25"/>
  <cols>
    <col min="1" max="1" width="37.5703125" customWidth="1"/>
  </cols>
  <sheetData>
    <row r="1" spans="1:1" x14ac:dyDescent="0.25">
      <c r="A1" s="4" t="str">
        <f>"Create table "&amp; 'Column Definition'!B4 &amp;"." &amp;'Column Definition'!B8 &amp; "("</f>
        <v>Create table vs.CompanyStep2(</v>
      </c>
    </row>
    <row r="2" spans="1:1" x14ac:dyDescent="0.25">
      <c r="A2" t="str">
        <f>" ["&amp;'Column Definition'!C8&amp;"] "&amp;'Column Definition'!F8&amp;IF(ISNUMBER(SEARCH("char",'Column Definition'!F8,1)),"("&amp;SUBSTITUTE('Column Definition'!K8,"-1","max")&amp;")","")&amp;IF('Column Definition'!E8="FALSE"," Not Null"," Null")</f>
        <v xml:space="preserve"> [ID_CompanyStep2] int Null</v>
      </c>
    </row>
    <row r="3" spans="1:1" x14ac:dyDescent="0.25">
      <c r="A3" t="str">
        <f>", ["&amp;'Column Definition'!C9&amp;"] "&amp;'Column Definition'!F9&amp;IF(ISNUMBER(SEARCH("char",'Column Definition'!F9,1)),"("&amp;SUBSTITUTE('Column Definition'!K9,"-1","max")&amp;")","")&amp;IF('Column Definition'!E9="FALSE"," Not Null"," Null")</f>
        <v>, [CoName] varchar(100) Null</v>
      </c>
    </row>
    <row r="4" spans="1:1" x14ac:dyDescent="0.25">
      <c r="A4" t="str">
        <f>", ["&amp;'Column Definition'!C10&amp;"] "&amp;'Column Definition'!F10&amp;IF(ISNUMBER(SEARCH("char",'Column Definition'!F10,1)),"("&amp;SUBSTITUTE('Column Definition'!K10,"-1","max")&amp;")","")&amp;IF('Column Definition'!E10="FALSE"," Not Null"," Null")</f>
        <v>, [BackOfficeID] varchar(4000) Null</v>
      </c>
    </row>
    <row r="5" spans="1:1" x14ac:dyDescent="0.25">
      <c r="A5" t="str">
        <f>", ["&amp;'Column Definition'!C11&amp;"] "&amp;'Column Definition'!F11&amp;IF(ISNUMBER(SEARCH("char",'Column Definition'!F11,1)),"("&amp;SUBSTITUTE('Column Definition'!K11,"-1","max")&amp;")","")&amp;IF('Column Definition'!E11="FALSE"," Not Null"," Null")</f>
        <v>, [CoFederalIDNum] varchar(4000) Null</v>
      </c>
    </row>
    <row r="6" spans="1:1" x14ac:dyDescent="0.25">
      <c r="A6" t="str">
        <f>", ["&amp;'Column Definition'!C12&amp;"] "&amp;'Column Definition'!F12&amp;IF(ISNUMBER(SEARCH("char",'Column Definition'!F12,1)),"("&amp;SUBSTITUTE('Column Definition'!K12,"-1","max")&amp;")","")&amp;IF('Column Definition'!E12="FALSE"," Not Null"," Null")</f>
        <v>, [CoContact] varchar(4000) Null</v>
      </c>
    </row>
    <row r="7" spans="1:1" x14ac:dyDescent="0.25">
      <c r="A7" t="str">
        <f>", ["&amp;'Column Definition'!C13&amp;"] "&amp;'Column Definition'!F13&amp;IF(ISNUMBER(SEARCH("char",'Column Definition'!F13,1)),"("&amp;SUBSTITUTE('Column Definition'!K13,"-1","max")&amp;")","")&amp;IF('Column Definition'!E13="FALSE"," Not Null"," Null")</f>
        <v>, [CoDBA] varchar(4000) Null</v>
      </c>
    </row>
    <row r="8" spans="1:1" x14ac:dyDescent="0.25">
      <c r="A8" t="str">
        <f>", ["&amp;'Column Definition'!C14&amp;"] "&amp;'Column Definition'!F14&amp;IF(ISNUMBER(SEARCH("char",'Column Definition'!F14,1)),"("&amp;SUBSTITUTE('Column Definition'!K14,"-1","max")&amp;")","")&amp;IF('Column Definition'!E14="FALSE"," Not Null"," Null")</f>
        <v>, [CoBusinessType] varchar(4000) Null</v>
      </c>
    </row>
    <row r="9" spans="1:1" x14ac:dyDescent="0.25">
      <c r="A9" t="str">
        <f>", ["&amp;'Column Definition'!C15&amp;"] "&amp;'Column Definition'!F15&amp;IF(ISNUMBER(SEARCH("char",'Column Definition'!F15,1)),"("&amp;SUBSTITUTE('Column Definition'!K15,"-1","max")&amp;")","")&amp;IF('Column Definition'!E15="FALSE"," Not Null"," Null")</f>
        <v>, [CoPhone] varchar(4000) Null</v>
      </c>
    </row>
    <row r="10" spans="1:1" x14ac:dyDescent="0.25">
      <c r="A10" t="str">
        <f>", ["&amp;'Column Definition'!C16&amp;"] "&amp;'Column Definition'!F16&amp;IF(ISNUMBER(SEARCH("char",'Column Definition'!F16,1)),"("&amp;SUBSTITUTE('Column Definition'!K16,"-1","max")&amp;")","")&amp;IF('Column Definition'!E16="FALSE"," Not Null"," Null")</f>
        <v>, [CoStateIncCode] varchar(4000) Null</v>
      </c>
    </row>
    <row r="11" spans="1:1" x14ac:dyDescent="0.25">
      <c r="A11" t="str">
        <f>", ["&amp;'Column Definition'!C17&amp;"] "&amp;'Column Definition'!F17&amp;IF(ISNUMBER(SEARCH("char",'Column Definition'!F17,1)),"("&amp;SUBSTITUTE('Column Definition'!K17,"-1","max")&amp;")","")&amp;IF('Column Definition'!E17="FALSE"," Not Null"," Null")</f>
        <v>, [NAICS] varchar(4000) Null</v>
      </c>
    </row>
    <row r="12" spans="1:1" x14ac:dyDescent="0.25">
      <c r="A12" t="str">
        <f>", ["&amp;'Column Definition'!C18&amp;"] "&amp;'Column Definition'!F18&amp;IF(ISNUMBER(SEARCH("char",'Column Definition'!F18,1)),"("&amp;SUBSTITUTE('Column Definition'!K18,"-1","max")&amp;")","")&amp;IF('Column Definition'!E18="FALSE"," Not Null"," Null")</f>
        <v>, [IsSSN] int Null</v>
      </c>
    </row>
    <row r="13" spans="1:1" x14ac:dyDescent="0.25">
      <c r="A13" t="str">
        <f>", ["&amp;'Column Definition'!C19&amp;"] "&amp;'Column Definition'!F19&amp;IF(ISNUMBER(SEARCH("char",'Column Definition'!F19,1)),"("&amp;SUBSTITUTE('Column Definition'!K19,"-1","max")&amp;")","")&amp;IF('Column Definition'!E19="FALSE"," Not Null"," Null")</f>
        <v>, [IsEIN] int Null</v>
      </c>
    </row>
    <row r="14" spans="1:1" x14ac:dyDescent="0.25">
      <c r="A14" t="str">
        <f>", ["&amp;'Column Definition'!C20&amp;"] "&amp;'Column Definition'!F20&amp;IF(ISNUMBER(SEARCH("char",'Column Definition'!F20,1)),"("&amp;SUBSTITUTE('Column Definition'!K20,"-1","max")&amp;")","")&amp;IF('Column Definition'!E20="FALSE"," Not Null"," Null")</f>
        <v>, [LC_ID_CompanyStep1] int Null</v>
      </c>
    </row>
    <row r="15" spans="1:1" x14ac:dyDescent="0.25">
      <c r="A15" t="str">
        <f>", ["&amp;'Column Definition'!C21&amp;"] "&amp;'Column Definition'!F21&amp;IF(ISNUMBER(SEARCH("char",'Column Definition'!F21,1)),"("&amp;SUBSTITUTE('Column Definition'!K21,"-1","max")&amp;")","")&amp;IF('Column Definition'!E21="FALSE"," Not Null"," Null")</f>
        <v>, [T_CreatedDate] datetime Null</v>
      </c>
    </row>
    <row r="16" spans="1:1" x14ac:dyDescent="0.25">
      <c r="A16" t="str">
        <f>", ["&amp;'Column Definition'!C22&amp;"] "&amp;'Column Definition'!F22&amp;IF(ISNUMBER(SEARCH("char",'Column Definition'!F22,1)),"("&amp;SUBSTITUTE('Column Definition'!K22,"-1","max")&amp;")","")&amp;IF('Column Definition'!E22="FALSE"," Not Null"," Null")</f>
        <v>, [T_ModifiedDate] datetime Null</v>
      </c>
    </row>
    <row r="17" spans="1:1" x14ac:dyDescent="0.25">
      <c r="A17" t="str">
        <f>", ["&amp;'Column Definition'!C23&amp;"] "&amp;'Column Definition'!F23&amp;IF(ISNUMBER(SEARCH("char",'Column Definition'!F23,1)),"("&amp;SUBSTITUTE('Column Definition'!K23,"-1","max")&amp;")","")&amp;IF('Column Definition'!E23="FALSE"," Not Null"," Null")</f>
        <v>, [T_DeletedDate] datetime Null</v>
      </c>
    </row>
    <row r="18" spans="1:1" x14ac:dyDescent="0.25">
      <c r="A18" t="str">
        <f>", ["&amp;'Column Definition'!C24&amp;"] "&amp;'Column Definition'!F24&amp;IF(ISNUMBER(SEARCH("char",'Column Definition'!F24,1)),"("&amp;SUBSTITUTE('Column Definition'!K24,"-1","max")&amp;")","")&amp;IF('Column Definition'!E24="FALSE"," Not Null"," Null")</f>
        <v>, [T_DeletedFlag] tinyint Null</v>
      </c>
    </row>
    <row r="19" spans="1:1" x14ac:dyDescent="0.25">
      <c r="A19" t="str">
        <f>", ["&amp;'Column Definition'!C25&amp;"] "&amp;'Column Definition'!F25&amp;IF(ISNUMBER(SEARCH("char",'Column Definition'!F25,1)),"("&amp;SUBSTITUTE('Column Definition'!K25,"-1","max")&amp;")","")&amp;IF('Column Definition'!E25="FALSE"," Not Null"," Null")</f>
        <v>, [ID_CompanyStep3] int Null</v>
      </c>
    </row>
    <row r="20" spans="1:1" x14ac:dyDescent="0.25">
      <c r="A20" t="str">
        <f>", ["&amp;'Column Definition'!C26&amp;"] "&amp;'Column Definition'!F26&amp;IF(ISNUMBER(SEARCH("char",'Column Definition'!F26,1)),"("&amp;SUBSTITUTE('Column Definition'!K26,"-1","max")&amp;")","")&amp;IF('Column Definition'!E26="FALSE"," Not Null"," Null")</f>
        <v>, [CompanyNum] int Null</v>
      </c>
    </row>
    <row r="21" spans="1:1" x14ac:dyDescent="0.25">
      <c r="A21" t="str">
        <f>", ["&amp;'Column Definition'!C27&amp;"] "&amp;'Column Definition'!F27&amp;IF(ISNUMBER(SEARCH("char",'Column Definition'!F27,1)),"("&amp;SUBSTITUTE('Column Definition'!K27,"-1","max")&amp;")","")&amp;IF('Column Definition'!E27="FALSE"," Not Null"," Null")</f>
        <v>, [CompanyRelation] tinyint Null</v>
      </c>
    </row>
    <row r="22" spans="1:1" x14ac:dyDescent="0.25">
      <c r="A22" t="str">
        <f>", ["&amp;'Column Definition'!C28&amp;"] "&amp;'Column Definition'!F28&amp;IF(ISNUMBER(SEARCH("char",'Column Definition'!F28,1)),"("&amp;SUBSTITUTE('Column Definition'!K28,"-1","max")&amp;")","")&amp;IF('Column Definition'!E28="FALSE"," Not Null"," Null")</f>
        <v>, []  Null</v>
      </c>
    </row>
    <row r="23" spans="1:1" x14ac:dyDescent="0.25">
      <c r="A23" t="str">
        <f>", ["&amp;'Column Definition'!C29&amp;"] "&amp;'Column Definition'!F29&amp;IF(ISNUMBER(SEARCH("char",'Column Definition'!F29,1)),"("&amp;SUBSTITUTE('Column Definition'!K29,"-1","max")&amp;")","")&amp;IF('Column Definition'!E29="FALSE"," Not Null"," Null")</f>
        <v>, []  Null</v>
      </c>
    </row>
    <row r="24" spans="1:1" x14ac:dyDescent="0.25">
      <c r="A24" t="str">
        <f>", ["&amp;'Column Definition'!C30&amp;"] "&amp;'Column Definition'!F30&amp;IF(ISNUMBER(SEARCH("char",'Column Definition'!F30,1)),"("&amp;SUBSTITUTE('Column Definition'!K30,"-1","max")&amp;")","")&amp;IF('Column Definition'!E30="FALSE"," Not Null"," Null")</f>
        <v>, []  Null</v>
      </c>
    </row>
    <row r="25" spans="1:1" x14ac:dyDescent="0.25">
      <c r="A25" t="str">
        <f>", ["&amp;'Column Definition'!C31&amp;"] "&amp;'Column Definition'!F31&amp;IF(ISNUMBER(SEARCH("char",'Column Definition'!F31,1)),"("&amp;SUBSTITUTE('Column Definition'!K31,"-1","max")&amp;")","")&amp;IF('Column Definition'!E31="FALSE"," Not Null"," Null")</f>
        <v>, []  Null</v>
      </c>
    </row>
    <row r="26" spans="1:1" x14ac:dyDescent="0.25">
      <c r="A26" t="str">
        <f>", ["&amp;'Column Definition'!C32&amp;"] "&amp;'Column Definition'!F32&amp;IF(ISNUMBER(SEARCH("char",'Column Definition'!F32,1)),"("&amp;SUBSTITUTE('Column Definition'!K32,"-1","max")&amp;")","")&amp;IF('Column Definition'!E32="FALSE"," Not Null"," Null")</f>
        <v>, []  Null</v>
      </c>
    </row>
    <row r="27" spans="1:1" x14ac:dyDescent="0.25">
      <c r="A27" t="str">
        <f>", ["&amp;'Column Definition'!C33&amp;"] "&amp;'Column Definition'!F33&amp;IF(ISNUMBER(SEARCH("char",'Column Definition'!F33,1)),"("&amp;SUBSTITUTE('Column Definition'!K33,"-1","max")&amp;")","")&amp;IF('Column Definition'!E33="FALSE"," Not Null"," Null")</f>
        <v>, []  Null</v>
      </c>
    </row>
    <row r="28" spans="1:1" x14ac:dyDescent="0.25">
      <c r="A28" t="str">
        <f>", ["&amp;'Column Definition'!C34&amp;"] "&amp;'Column Definition'!F34&amp;IF(ISNUMBER(SEARCH("char",'Column Definition'!F34,1)),"("&amp;SUBSTITUTE('Column Definition'!K34,"-1","max")&amp;")","")&amp;IF('Column Definition'!E34="FALSE"," Not Null"," Null")</f>
        <v>, []  Null</v>
      </c>
    </row>
    <row r="29" spans="1:1" x14ac:dyDescent="0.25">
      <c r="A29" t="str">
        <f>", ["&amp;'Column Definition'!C35&amp;"] "&amp;'Column Definition'!F35&amp;IF(ISNUMBER(SEARCH("char",'Column Definition'!F35,1)),"("&amp;SUBSTITUTE('Column Definition'!K35,"-1","max")&amp;")","")&amp;IF('Column Definition'!E35="FALSE"," Not Null"," Null")</f>
        <v>, []  Null</v>
      </c>
    </row>
    <row r="30" spans="1:1" x14ac:dyDescent="0.25">
      <c r="A30" t="str">
        <f>", ["&amp;'Column Definition'!C36&amp;"] "&amp;'Column Definition'!F36&amp;IF(ISNUMBER(SEARCH("char",'Column Definition'!F36,1)),"("&amp;SUBSTITUTE('Column Definition'!K36,"-1","max")&amp;")","")&amp;IF('Column Definition'!E36="FALSE"," Not Null"," Null")</f>
        <v>, []  Null</v>
      </c>
    </row>
    <row r="31" spans="1:1" x14ac:dyDescent="0.25">
      <c r="A31" t="str">
        <f>", ["&amp;'Column Definition'!C37&amp;"] "&amp;'Column Definition'!F37&amp;IF(ISNUMBER(SEARCH("char",'Column Definition'!F37,1)),"("&amp;SUBSTITUTE('Column Definition'!K37,"-1","max")&amp;")","")&amp;IF('Column Definition'!E37="FALSE"," Not Null"," Null")</f>
        <v>, []  Null</v>
      </c>
    </row>
    <row r="32" spans="1:1" x14ac:dyDescent="0.25">
      <c r="A32" t="str">
        <f>", ["&amp;'Column Definition'!C38&amp;"] "&amp;'Column Definition'!F38&amp;IF(ISNUMBER(SEARCH("char",'Column Definition'!F38,1)),"("&amp;SUBSTITUTE('Column Definition'!K38,"-1","max")&amp;")","")&amp;IF('Column Definition'!E38="FALSE"," Not Null"," Null")</f>
        <v>, []  Null</v>
      </c>
    </row>
    <row r="33" spans="1:1" x14ac:dyDescent="0.25">
      <c r="A33" t="str">
        <f>", ["&amp;'Column Definition'!C39&amp;"] "&amp;'Column Definition'!F39&amp;IF(ISNUMBER(SEARCH("char",'Column Definition'!F39,1)),"("&amp;SUBSTITUTE('Column Definition'!K39,"-1","max")&amp;")","")&amp;IF('Column Definition'!E39="FALSE"," Not Null"," Null")</f>
        <v>, []  Null</v>
      </c>
    </row>
    <row r="34" spans="1:1" x14ac:dyDescent="0.25">
      <c r="A34" t="str">
        <f>", ["&amp;'Column Definition'!C40&amp;"] "&amp;'Column Definition'!F40&amp;IF(ISNUMBER(SEARCH("char",'Column Definition'!F40,1)),"("&amp;SUBSTITUTE('Column Definition'!K40,"-1","max")&amp;")","")&amp;IF('Column Definition'!E40="FALSE"," Not Null"," Null")</f>
        <v>, []  Null</v>
      </c>
    </row>
    <row r="35" spans="1:1" x14ac:dyDescent="0.25">
      <c r="A35" t="str">
        <f>", ["&amp;'Column Definition'!C41&amp;"] "&amp;'Column Definition'!F41&amp;IF(ISNUMBER(SEARCH("char",'Column Definition'!F41,1)),"("&amp;SUBSTITUTE('Column Definition'!K41,"-1","max")&amp;")","")&amp;IF('Column Definition'!E41="FALSE"," Not Null"," Null")</f>
        <v>, []  Null</v>
      </c>
    </row>
    <row r="36" spans="1:1" x14ac:dyDescent="0.25">
      <c r="A36" t="str">
        <f>", ["&amp;'Column Definition'!C42&amp;"] "&amp;'Column Definition'!F42&amp;IF(ISNUMBER(SEARCH("char",'Column Definition'!F42,1)),"("&amp;SUBSTITUTE('Column Definition'!K42,"-1","max")&amp;")","")&amp;IF('Column Definition'!E42="FALSE"," Not Null"," Null")</f>
        <v>, []  Null</v>
      </c>
    </row>
    <row r="37" spans="1:1" x14ac:dyDescent="0.25">
      <c r="A37" t="str">
        <f>", ["&amp;'Column Definition'!C43&amp;"] "&amp;'Column Definition'!F43&amp;IF(ISNUMBER(SEARCH("char",'Column Definition'!F43,1)),"("&amp;SUBSTITUTE('Column Definition'!K43,"-1","max")&amp;")","")&amp;IF('Column Definition'!E43="FALSE"," Not Null"," Null")</f>
        <v>, []  Null</v>
      </c>
    </row>
    <row r="38" spans="1:1" x14ac:dyDescent="0.25">
      <c r="A38" t="str">
        <f>", ["&amp;'Column Definition'!C44&amp;"] "&amp;'Column Definition'!F44&amp;IF(ISNUMBER(SEARCH("char",'Column Definition'!F44,1)),"("&amp;SUBSTITUTE('Column Definition'!K44,"-1","max")&amp;")","")&amp;IF('Column Definition'!E44="FALSE"," Not Null"," Null")</f>
        <v>, []  Null</v>
      </c>
    </row>
    <row r="39" spans="1:1" x14ac:dyDescent="0.25">
      <c r="A39" t="str">
        <f>", ["&amp;'Column Definition'!C45&amp;"] "&amp;'Column Definition'!F45&amp;IF(ISNUMBER(SEARCH("char",'Column Definition'!F45,1)),"("&amp;SUBSTITUTE('Column Definition'!K45,"-1","max")&amp;")","")&amp;IF('Column Definition'!E45="FALSE"," Not Null"," Null")</f>
        <v>, []  Null</v>
      </c>
    </row>
    <row r="40" spans="1:1" x14ac:dyDescent="0.25">
      <c r="A40" t="str">
        <f>", ["&amp;'Column Definition'!C46&amp;"] "&amp;'Column Definition'!F46&amp;IF(ISNUMBER(SEARCH("char",'Column Definition'!F46,1)),"("&amp;SUBSTITUTE('Column Definition'!K46,"-1","max")&amp;")","")&amp;IF('Column Definition'!E46="FALSE"," Not Null"," Null")</f>
        <v>, []  Null</v>
      </c>
    </row>
    <row r="41" spans="1:1" x14ac:dyDescent="0.25">
      <c r="A41" t="str">
        <f>", ["&amp;'Column Definition'!C47&amp;"] "&amp;'Column Definition'!F47&amp;IF(ISNUMBER(SEARCH("char",'Column Definition'!F47,1)),"("&amp;SUBSTITUTE('Column Definition'!K47,"-1","max")&amp;")","")&amp;IF('Column Definition'!E47="FALSE"," Not Null"," Null")</f>
        <v>, []  Null</v>
      </c>
    </row>
    <row r="42" spans="1:1" x14ac:dyDescent="0.25">
      <c r="A42" t="str">
        <f>", ["&amp;'Column Definition'!C48&amp;"] "&amp;'Column Definition'!F48&amp;IF(ISNUMBER(SEARCH("char",'Column Definition'!F48,1)),"("&amp;SUBSTITUTE('Column Definition'!K48,"-1","max")&amp;")","")&amp;IF('Column Definition'!E48="FALSE"," Not Null"," Null")</f>
        <v>, []  Null</v>
      </c>
    </row>
    <row r="43" spans="1:1" x14ac:dyDescent="0.25">
      <c r="A43" t="str">
        <f>", ["&amp;'Column Definition'!C49&amp;"] "&amp;'Column Definition'!F49&amp;IF(ISNUMBER(SEARCH("char",'Column Definition'!F49,1)),"("&amp;SUBSTITUTE('Column Definition'!K49,"-1","max")&amp;")","")&amp;IF('Column Definition'!E49="FALSE"," Not Null"," Null")</f>
        <v>, []  Null</v>
      </c>
    </row>
    <row r="44" spans="1:1" x14ac:dyDescent="0.25">
      <c r="A44" t="str">
        <f>", ["&amp;'Column Definition'!C50&amp;"] "&amp;'Column Definition'!F50&amp;IF(ISNUMBER(SEARCH("char",'Column Definition'!F50,1)),"("&amp;SUBSTITUTE('Column Definition'!K50,"-1","max")&amp;")","")&amp;IF('Column Definition'!E50="FALSE"," Not Null"," Null")</f>
        <v>, []  Null</v>
      </c>
    </row>
    <row r="45" spans="1:1" x14ac:dyDescent="0.25">
      <c r="A45" t="str">
        <f>", ["&amp;'Column Definition'!C51&amp;"] "&amp;'Column Definition'!F51&amp;IF(ISNUMBER(SEARCH("char",'Column Definition'!F51,1)),"("&amp;SUBSTITUTE('Column Definition'!K51,"-1","max")&amp;")","")&amp;IF('Column Definition'!E51="FALSE"," Not Null"," Null")</f>
        <v>, []  Null</v>
      </c>
    </row>
    <row r="46" spans="1:1" x14ac:dyDescent="0.25">
      <c r="A46" t="str">
        <f>", ["&amp;'Column Definition'!C52&amp;"] "&amp;'Column Definition'!F52&amp;IF(ISNUMBER(SEARCH("char",'Column Definition'!F52,1)),"("&amp;SUBSTITUTE('Column Definition'!K52,"-1","max")&amp;")","")&amp;IF('Column Definition'!E52="FALSE"," Not Null"," Null")</f>
        <v>, []  Null</v>
      </c>
    </row>
    <row r="47" spans="1:1" x14ac:dyDescent="0.25">
      <c r="A47" t="str">
        <f>", ["&amp;'Column Definition'!C53&amp;"] "&amp;'Column Definition'!F53&amp;IF(ISNUMBER(SEARCH("char",'Column Definition'!F53,1)),"("&amp;SUBSTITUTE('Column Definition'!K53,"-1","max")&amp;")","")&amp;IF('Column Definition'!E53="FALSE"," Not Null"," Null")</f>
        <v>, []  Null</v>
      </c>
    </row>
    <row r="48" spans="1:1" x14ac:dyDescent="0.25">
      <c r="A48" t="str">
        <f>", ["&amp;'Column Definition'!C54&amp;"] "&amp;'Column Definition'!F54&amp;IF(ISNUMBER(SEARCH("char",'Column Definition'!F54,1)),"("&amp;SUBSTITUTE('Column Definition'!K54,"-1","max")&amp;")","")&amp;IF('Column Definition'!E54="FALSE"," Not Null"," Null")</f>
        <v>, []  Null</v>
      </c>
    </row>
    <row r="49" spans="1:1" x14ac:dyDescent="0.25">
      <c r="A49" t="str">
        <f>", ["&amp;'Column Definition'!C55&amp;"] "&amp;'Column Definition'!F55&amp;IF(ISNUMBER(SEARCH("char",'Column Definition'!F55,1)),"("&amp;SUBSTITUTE('Column Definition'!K55,"-1","max")&amp;")","")&amp;IF('Column Definition'!E55="FALSE"," Not Null"," Null")</f>
        <v>, []  Null</v>
      </c>
    </row>
    <row r="50" spans="1:1" x14ac:dyDescent="0.25">
      <c r="A50" t="str">
        <f>", ["&amp;'Column Definition'!C56&amp;"] "&amp;'Column Definition'!F56&amp;IF(ISNUMBER(SEARCH("char",'Column Definition'!F56,1)),"("&amp;SUBSTITUTE('Column Definition'!K56,"-1","max")&amp;")","")&amp;IF('Column Definition'!E56="FALSE"," Not Null"," Null")</f>
        <v>, []  Null</v>
      </c>
    </row>
    <row r="51" spans="1:1" x14ac:dyDescent="0.25">
      <c r="A51" t="str">
        <f>", ["&amp;'Column Definition'!C57&amp;"] "&amp;'Column Definition'!F57&amp;IF(ISNUMBER(SEARCH("char",'Column Definition'!F57,1)),"("&amp;SUBSTITUTE('Column Definition'!K57,"-1","max")&amp;")","")&amp;IF('Column Definition'!E57="FALSE"," Not Null"," Null")</f>
        <v>, []  Null</v>
      </c>
    </row>
    <row r="52" spans="1:1" x14ac:dyDescent="0.25">
      <c r="A52" t="str">
        <f>", ["&amp;'Column Definition'!C58&amp;"] "&amp;'Column Definition'!F58&amp;IF(ISNUMBER(SEARCH("char",'Column Definition'!F58,1)),"("&amp;SUBSTITUTE('Column Definition'!K58,"-1","max")&amp;")","")&amp;IF('Column Definition'!E58="FALSE"," Not Null"," Null")</f>
        <v>, []  Null</v>
      </c>
    </row>
    <row r="53" spans="1:1" x14ac:dyDescent="0.25">
      <c r="A53" t="str">
        <f>", ["&amp;'Column Definition'!C59&amp;"] "&amp;'Column Definition'!F59&amp;IF(ISNUMBER(SEARCH("char",'Column Definition'!F59,1)),"("&amp;SUBSTITUTE('Column Definition'!K59,"-1","max")&amp;")","")&amp;IF('Column Definition'!E59="FALSE"," Not Null"," Null")</f>
        <v>, []  Null</v>
      </c>
    </row>
    <row r="54" spans="1:1" x14ac:dyDescent="0.25">
      <c r="A54" t="str">
        <f>", ["&amp;'Column Definition'!C60&amp;"] "&amp;'Column Definition'!F60&amp;IF(ISNUMBER(SEARCH("char",'Column Definition'!F60,1)),"("&amp;SUBSTITUTE('Column Definition'!K60,"-1","max")&amp;")","")&amp;IF('Column Definition'!E60="FALSE"," Not Null"," Null")</f>
        <v>, []  Null</v>
      </c>
    </row>
    <row r="55" spans="1:1" x14ac:dyDescent="0.25">
      <c r="A55" t="str">
        <f>", ["&amp;'Column Definition'!C61&amp;"] "&amp;'Column Definition'!F61&amp;IF(ISNUMBER(SEARCH("char",'Column Definition'!F61,1)),"("&amp;SUBSTITUTE('Column Definition'!K61,"-1","max")&amp;")","")&amp;IF('Column Definition'!E61="FALSE"," Not Null"," Null")</f>
        <v>, []  Null</v>
      </c>
    </row>
    <row r="56" spans="1:1" x14ac:dyDescent="0.25">
      <c r="A56" t="str">
        <f>", ["&amp;'Column Definition'!C62&amp;"] "&amp;'Column Definition'!F62&amp;IF(ISNUMBER(SEARCH("char",'Column Definition'!F62,1)),"("&amp;SUBSTITUTE('Column Definition'!K62,"-1","max")&amp;")","")&amp;IF('Column Definition'!E62="FALSE"," Not Null"," Null")</f>
        <v>, []  Null</v>
      </c>
    </row>
    <row r="57" spans="1:1" x14ac:dyDescent="0.25">
      <c r="A57" t="str">
        <f>", ["&amp;'Column Definition'!C63&amp;"] "&amp;'Column Definition'!F63&amp;IF(ISNUMBER(SEARCH("char",'Column Definition'!F63,1)),"("&amp;SUBSTITUTE('Column Definition'!K63,"-1","max")&amp;")","")&amp;IF('Column Definition'!E63="FALSE"," Not Null"," Null")</f>
        <v>, []  Null</v>
      </c>
    </row>
    <row r="58" spans="1:1" x14ac:dyDescent="0.25">
      <c r="A58" t="str">
        <f>", ["&amp;'Column Definition'!C64&amp;"] "&amp;'Column Definition'!F64&amp;IF(ISNUMBER(SEARCH("char",'Column Definition'!F64,1)),"("&amp;SUBSTITUTE('Column Definition'!K64,"-1","max")&amp;")","")&amp;IF('Column Definition'!E64="FALSE"," Not Null"," Null")</f>
        <v>, []  Null</v>
      </c>
    </row>
    <row r="59" spans="1:1" x14ac:dyDescent="0.25">
      <c r="A59" t="str">
        <f>", ["&amp;'Column Definition'!C65&amp;"] "&amp;'Column Definition'!F65&amp;IF(ISNUMBER(SEARCH("char",'Column Definition'!F65,1)),"("&amp;SUBSTITUTE('Column Definition'!K65,"-1","max")&amp;")","")&amp;IF('Column Definition'!E65="FALSE"," Not Null"," Null")</f>
        <v>, []  Null</v>
      </c>
    </row>
    <row r="60" spans="1:1" x14ac:dyDescent="0.25">
      <c r="A60" t="str">
        <f>", ["&amp;'Column Definition'!C66&amp;"] "&amp;'Column Definition'!F66&amp;IF(ISNUMBER(SEARCH("char",'Column Definition'!F66,1)),"("&amp;SUBSTITUTE('Column Definition'!K66,"-1","max")&amp;")","")&amp;IF('Column Definition'!E66="FALSE"," Not Null"," Null")</f>
        <v>, []  Null</v>
      </c>
    </row>
    <row r="61" spans="1:1" x14ac:dyDescent="0.25">
      <c r="A61" t="str">
        <f>", ["&amp;'Column Definition'!C67&amp;"] "&amp;'Column Definition'!F67&amp;IF(ISNUMBER(SEARCH("char",'Column Definition'!F67,1)),"("&amp;SUBSTITUTE('Column Definition'!K67,"-1","max")&amp;")","")&amp;IF('Column Definition'!E67="FALSE"," Not Null"," Null")</f>
        <v>, []  Null</v>
      </c>
    </row>
    <row r="62" spans="1:1" x14ac:dyDescent="0.25">
      <c r="A62" t="str">
        <f>", ["&amp;'Column Definition'!C68&amp;"] "&amp;'Column Definition'!F68&amp;IF(ISNUMBER(SEARCH("char",'Column Definition'!F68,1)),"("&amp;SUBSTITUTE('Column Definition'!K68,"-1","max")&amp;")","")&amp;IF('Column Definition'!E68="FALSE"," Not Null"," Null")</f>
        <v>, []  Null</v>
      </c>
    </row>
    <row r="63" spans="1:1" x14ac:dyDescent="0.25">
      <c r="A63" t="str">
        <f>", ["&amp;'Column Definition'!C69&amp;"] "&amp;'Column Definition'!F69&amp;IF(ISNUMBER(SEARCH("char",'Column Definition'!F69,1)),"("&amp;SUBSTITUTE('Column Definition'!K69,"-1","max")&amp;")","")&amp;IF('Column Definition'!E69="FALSE"," Not Null"," Null")</f>
        <v>, []  Null</v>
      </c>
    </row>
    <row r="64" spans="1:1" x14ac:dyDescent="0.25">
      <c r="A64" t="str">
        <f>", ["&amp;'Column Definition'!C70&amp;"] "&amp;'Column Definition'!F70&amp;IF(ISNUMBER(SEARCH("char",'Column Definition'!F70,1)),"("&amp;SUBSTITUTE('Column Definition'!K70,"-1","max")&amp;")","")&amp;IF('Column Definition'!E70="FALSE"," Not Null"," Null")</f>
        <v>, []  Null</v>
      </c>
    </row>
    <row r="65" spans="1:1" x14ac:dyDescent="0.25">
      <c r="A65" t="str">
        <f>", ["&amp;'Column Definition'!C71&amp;"] "&amp;'Column Definition'!F71&amp;IF(ISNUMBER(SEARCH("char",'Column Definition'!F71,1)),"("&amp;SUBSTITUTE('Column Definition'!K71,"-1","max")&amp;")","")&amp;IF('Column Definition'!E71="FALSE"," Not Null"," Null")</f>
        <v>, []  Null</v>
      </c>
    </row>
    <row r="66" spans="1:1" x14ac:dyDescent="0.25">
      <c r="A66" t="str">
        <f>", ["&amp;'Column Definition'!C72&amp;"] "&amp;'Column Definition'!F72&amp;IF(ISNUMBER(SEARCH("char",'Column Definition'!F72,1)),"("&amp;SUBSTITUTE('Column Definition'!K72,"-1","max")&amp;")","")&amp;IF('Column Definition'!E72="FALSE"," Not Null"," Null")</f>
        <v>, []  Null</v>
      </c>
    </row>
    <row r="67" spans="1:1" x14ac:dyDescent="0.25">
      <c r="A67" t="str">
        <f>", ["&amp;'Column Definition'!C73&amp;"] "&amp;'Column Definition'!F73&amp;IF(ISNUMBER(SEARCH("char",'Column Definition'!F73,1)),"("&amp;SUBSTITUTE('Column Definition'!K73,"-1","max")&amp;")","")&amp;IF('Column Definition'!E73="FALSE"," Not Null"," Null")</f>
        <v>, []  Null</v>
      </c>
    </row>
    <row r="68" spans="1:1" x14ac:dyDescent="0.25">
      <c r="A68" t="str">
        <f>", ["&amp;'Column Definition'!C74&amp;"] "&amp;'Column Definition'!F74&amp;IF(ISNUMBER(SEARCH("char",'Column Definition'!F74,1)),"("&amp;SUBSTITUTE('Column Definition'!K74,"-1","max")&amp;")","")&amp;IF('Column Definition'!E74="FALSE"," Not Null"," Null")</f>
        <v>, []  Null</v>
      </c>
    </row>
    <row r="69" spans="1:1" x14ac:dyDescent="0.25">
      <c r="A69" t="str">
        <f>", ["&amp;'Column Definition'!C75&amp;"] "&amp;'Column Definition'!F75&amp;IF(ISNUMBER(SEARCH("char",'Column Definition'!F75,1)),"("&amp;SUBSTITUTE('Column Definition'!K75,"-1","max")&amp;")","")&amp;IF('Column Definition'!E75="FALSE"," Not Null"," Null")</f>
        <v>, []  Null</v>
      </c>
    </row>
    <row r="70" spans="1:1" x14ac:dyDescent="0.25">
      <c r="A70" t="str">
        <f>", ["&amp;'Column Definition'!C76&amp;"] "&amp;'Column Definition'!F76&amp;IF(ISNUMBER(SEARCH("char",'Column Definition'!F76,1)),"("&amp;SUBSTITUTE('Column Definition'!K76,"-1","max")&amp;")","")&amp;IF('Column Definition'!E76="FALSE"," Not Null"," Null")</f>
        <v>, []  Null</v>
      </c>
    </row>
    <row r="71" spans="1:1" x14ac:dyDescent="0.25">
      <c r="A71" t="str">
        <f>", ["&amp;'Column Definition'!C77&amp;"] "&amp;'Column Definition'!F77&amp;IF(ISNUMBER(SEARCH("char",'Column Definition'!F77,1)),"("&amp;SUBSTITUTE('Column Definition'!K77,"-1","max")&amp;")","")&amp;IF('Column Definition'!E77="FALSE"," Not Null"," Null")</f>
        <v>, []  Null</v>
      </c>
    </row>
    <row r="72" spans="1:1" x14ac:dyDescent="0.25">
      <c r="A72" t="str">
        <f>", ["&amp;'Column Definition'!C78&amp;"] "&amp;'Column Definition'!F78&amp;IF(ISNUMBER(SEARCH("char",'Column Definition'!F78,1)),"("&amp;SUBSTITUTE('Column Definition'!K78,"-1","max")&amp;")","")&amp;IF('Column Definition'!E78="FALSE"," Not Null"," Null")</f>
        <v>, []  Null</v>
      </c>
    </row>
    <row r="73" spans="1:1" x14ac:dyDescent="0.25">
      <c r="A73" t="str">
        <f>", ["&amp;'Column Definition'!C79&amp;"] "&amp;'Column Definition'!F79&amp;IF(ISNUMBER(SEARCH("char",'Column Definition'!F79,1)),"("&amp;SUBSTITUTE('Column Definition'!K79,"-1","max")&amp;")","")&amp;IF('Column Definition'!E79="FALSE"," Not Null"," Null")</f>
        <v>, []  Null</v>
      </c>
    </row>
    <row r="74" spans="1:1" x14ac:dyDescent="0.25">
      <c r="A74" t="str">
        <f>", ["&amp;'Column Definition'!C80&amp;"] "&amp;'Column Definition'!F80&amp;IF(ISNUMBER(SEARCH("char",'Column Definition'!F80,1)),"("&amp;SUBSTITUTE('Column Definition'!K80,"-1","max")&amp;")","")&amp;IF('Column Definition'!E80="FALSE"," Not Null"," Null")</f>
        <v>, []  Null</v>
      </c>
    </row>
    <row r="75" spans="1:1" x14ac:dyDescent="0.25">
      <c r="A75" t="str">
        <f>", ["&amp;'Column Definition'!C81&amp;"] "&amp;'Column Definition'!F81&amp;IF(ISNUMBER(SEARCH("char",'Column Definition'!F81,1)),"("&amp;SUBSTITUTE('Column Definition'!K81,"-1","max")&amp;")","")&amp;IF('Column Definition'!E81="FALSE"," Not Null"," Null")</f>
        <v>, []  Null</v>
      </c>
    </row>
    <row r="76" spans="1:1" x14ac:dyDescent="0.25">
      <c r="A76" t="str">
        <f>", ["&amp;'Column Definition'!C82&amp;"] "&amp;'Column Definition'!F82&amp;IF(ISNUMBER(SEARCH("char",'Column Definition'!F82,1)),"("&amp;SUBSTITUTE('Column Definition'!K82,"-1","max")&amp;")","")&amp;IF('Column Definition'!E82="FALSE"," Not Null"," Null")</f>
        <v>, []  Null</v>
      </c>
    </row>
    <row r="77" spans="1:1" x14ac:dyDescent="0.25">
      <c r="A77" t="str">
        <f>", ["&amp;'Column Definition'!C83&amp;"] "&amp;'Column Definition'!F83&amp;IF(ISNUMBER(SEARCH("char",'Column Definition'!F83,1)),"("&amp;SUBSTITUTE('Column Definition'!K83,"-1","max")&amp;")","")&amp;IF('Column Definition'!E83="FALSE"," Not Null"," Null")</f>
        <v>, []  Null</v>
      </c>
    </row>
    <row r="78" spans="1:1" x14ac:dyDescent="0.25">
      <c r="A78" t="str">
        <f>", ["&amp;'Column Definition'!C84&amp;"] "&amp;'Column Definition'!F84&amp;IF(ISNUMBER(SEARCH("char",'Column Definition'!F84,1)),"("&amp;SUBSTITUTE('Column Definition'!K84,"-1","max")&amp;")","")&amp;IF('Column Definition'!E84="FALSE"," Not Null"," Null")</f>
        <v>, []  Null</v>
      </c>
    </row>
    <row r="79" spans="1:1" x14ac:dyDescent="0.25">
      <c r="A79" t="str">
        <f>", ["&amp;'Column Definition'!C85&amp;"] "&amp;'Column Definition'!F85&amp;IF(ISNUMBER(SEARCH("char",'Column Definition'!F85,1)),"("&amp;SUBSTITUTE('Column Definition'!K85,"-1","max")&amp;")","")&amp;IF('Column Definition'!E85="FALSE"," Not Null"," Null")</f>
        <v>, []  Null</v>
      </c>
    </row>
    <row r="80" spans="1:1" x14ac:dyDescent="0.25">
      <c r="A80" t="str">
        <f>", ["&amp;'Column Definition'!C86&amp;"] "&amp;'Column Definition'!F86&amp;IF(ISNUMBER(SEARCH("char",'Column Definition'!F86,1)),"("&amp;SUBSTITUTE('Column Definition'!K86,"-1","max")&amp;")","")&amp;IF('Column Definition'!E86="FALSE"," Not Null"," Null")</f>
        <v>, []  Null</v>
      </c>
    </row>
    <row r="81" spans="1:1" x14ac:dyDescent="0.25">
      <c r="A81" t="str">
        <f>", ["&amp;'Column Definition'!C87&amp;"] "&amp;'Column Definition'!F87&amp;IF(ISNUMBER(SEARCH("char",'Column Definition'!F87,1)),"("&amp;SUBSTITUTE('Column Definition'!K87,"-1","max")&amp;")","")&amp;IF('Column Definition'!E87="FALSE"," Not Null"," Null")</f>
        <v>, []  Null</v>
      </c>
    </row>
    <row r="82" spans="1:1" x14ac:dyDescent="0.25">
      <c r="A82" t="str">
        <f>", ["&amp;'Column Definition'!C88&amp;"] "&amp;'Column Definition'!F88&amp;IF(ISNUMBER(SEARCH("char",'Column Definition'!F88,1)),"("&amp;SUBSTITUTE('Column Definition'!K88,"-1","max")&amp;")","")&amp;IF('Column Definition'!E88="FALSE"," Not Null"," Null")</f>
        <v>, []  Null</v>
      </c>
    </row>
    <row r="83" spans="1:1" x14ac:dyDescent="0.25">
      <c r="A83" t="str">
        <f>", ["&amp;'Column Definition'!C89&amp;"] "&amp;'Column Definition'!F89&amp;IF(ISNUMBER(SEARCH("char",'Column Definition'!F89,1)),"("&amp;SUBSTITUTE('Column Definition'!K89,"-1","max")&amp;")","")&amp;IF('Column Definition'!E89="FALSE"," Not Null"," Null")</f>
        <v>, []  Null</v>
      </c>
    </row>
    <row r="84" spans="1:1" x14ac:dyDescent="0.25">
      <c r="A84" t="str">
        <f>", ["&amp;'Column Definition'!C90&amp;"] "&amp;'Column Definition'!F90&amp;IF(ISNUMBER(SEARCH("char",'Column Definition'!F90,1)),"("&amp;SUBSTITUTE('Column Definition'!K90,"-1","max")&amp;")","")&amp;IF('Column Definition'!E90="FALSE"," Not Null"," Null")</f>
        <v>, []  Null</v>
      </c>
    </row>
    <row r="85" spans="1:1" x14ac:dyDescent="0.25">
      <c r="A85" t="str">
        <f>", ["&amp;'Column Definition'!C91&amp;"] "&amp;'Column Definition'!F91&amp;IF(ISNUMBER(SEARCH("char",'Column Definition'!F91,1)),"("&amp;SUBSTITUTE('Column Definition'!K91,"-1","max")&amp;")","")&amp;IF('Column Definition'!E91="FALSE"," Not Null"," Null")</f>
        <v>, []  Null</v>
      </c>
    </row>
    <row r="86" spans="1:1" x14ac:dyDescent="0.25">
      <c r="A86" t="str">
        <f>", ["&amp;'Column Definition'!C92&amp;"] "&amp;'Column Definition'!F92&amp;IF(ISNUMBER(SEARCH("char",'Column Definition'!F92,1)),"("&amp;SUBSTITUTE('Column Definition'!K92,"-1","max")&amp;")","")&amp;IF('Column Definition'!E92="FALSE"," Not Null"," Null")</f>
        <v>, []  Null</v>
      </c>
    </row>
    <row r="87" spans="1:1" x14ac:dyDescent="0.25">
      <c r="A87" t="str">
        <f>", ["&amp;'Column Definition'!C93&amp;"] "&amp;'Column Definition'!F93&amp;IF(ISNUMBER(SEARCH("char",'Column Definition'!F93,1)),"("&amp;SUBSTITUTE('Column Definition'!K93,"-1","max")&amp;")","")&amp;IF('Column Definition'!E93="FALSE"," Not Null"," Null")</f>
        <v>, []  Null</v>
      </c>
    </row>
    <row r="88" spans="1:1" x14ac:dyDescent="0.25">
      <c r="A88" t="str">
        <f>", ["&amp;'Column Definition'!C94&amp;"] "&amp;'Column Definition'!F94&amp;IF(ISNUMBER(SEARCH("char",'Column Definition'!F94,1)),"("&amp;SUBSTITUTE('Column Definition'!K94,"-1","max")&amp;")","")&amp;IF('Column Definition'!E94="FALSE"," Not Null"," Null")</f>
        <v>, []  Null</v>
      </c>
    </row>
    <row r="89" spans="1:1" x14ac:dyDescent="0.25">
      <c r="A89" t="str">
        <f>", ["&amp;'Column Definition'!C95&amp;"] "&amp;'Column Definition'!F95&amp;IF(ISNUMBER(SEARCH("char",'Column Definition'!F95,1)),"("&amp;SUBSTITUTE('Column Definition'!K95,"-1","max")&amp;")","")&amp;IF('Column Definition'!E95="FALSE"," Not Null"," Null")</f>
        <v>, []  Null</v>
      </c>
    </row>
    <row r="90" spans="1:1" x14ac:dyDescent="0.25">
      <c r="A90" t="str">
        <f>", ["&amp;'Column Definition'!C96&amp;"] "&amp;'Column Definition'!F96&amp;IF(ISNUMBER(SEARCH("char",'Column Definition'!F96,1)),"("&amp;SUBSTITUTE('Column Definition'!K96,"-1","max")&amp;")","")&amp;IF('Column Definition'!E96="FALSE"," Not Null"," Null")</f>
        <v>, []  Null</v>
      </c>
    </row>
    <row r="91" spans="1:1" x14ac:dyDescent="0.25">
      <c r="A91" t="str">
        <f>", ["&amp;'Column Definition'!C97&amp;"] "&amp;'Column Definition'!F97&amp;IF(ISNUMBER(SEARCH("char",'Column Definition'!F97,1)),"("&amp;SUBSTITUTE('Column Definition'!K97,"-1","max")&amp;")","")&amp;IF('Column Definition'!E97="FALSE"," Not Null"," Null")</f>
        <v>, []  Null</v>
      </c>
    </row>
    <row r="92" spans="1:1" x14ac:dyDescent="0.25">
      <c r="A92" t="str">
        <f>", ["&amp;'Column Definition'!C98&amp;"] "&amp;'Column Definition'!F98&amp;IF(ISNUMBER(SEARCH("char",'Column Definition'!F98,1)),"("&amp;SUBSTITUTE('Column Definition'!K98,"-1","max")&amp;")","")&amp;IF('Column Definition'!E98="FALSE"," Not Null"," Null")</f>
        <v>, []  Null</v>
      </c>
    </row>
    <row r="93" spans="1:1" x14ac:dyDescent="0.25">
      <c r="A93" t="str">
        <f>", ["&amp;'Column Definition'!C99&amp;"] "&amp;'Column Definition'!F99&amp;IF(ISNUMBER(SEARCH("char",'Column Definition'!F99,1)),"("&amp;SUBSTITUTE('Column Definition'!K99,"-1","max")&amp;")","")&amp;IF('Column Definition'!E99="FALSE"," Not Null"," Null")</f>
        <v>, []  Null</v>
      </c>
    </row>
    <row r="94" spans="1:1" x14ac:dyDescent="0.25">
      <c r="A94" t="str">
        <f>", ["&amp;'Column Definition'!C100&amp;"] "&amp;'Column Definition'!F100&amp;IF(ISNUMBER(SEARCH("char",'Column Definition'!F100,1)),"("&amp;SUBSTITUTE('Column Definition'!K100,"-1","max")&amp;")","")&amp;IF('Column Definition'!E100="FALSE"," Not Null"," Null")</f>
        <v>, []  Null</v>
      </c>
    </row>
    <row r="95" spans="1:1" x14ac:dyDescent="0.25">
      <c r="A95" t="str">
        <f>", ["&amp;'Column Definition'!C101&amp;"] "&amp;'Column Definition'!F101&amp;IF(ISNUMBER(SEARCH("char",'Column Definition'!F101,1)),"("&amp;SUBSTITUTE('Column Definition'!K101,"-1","max")&amp;")","")&amp;IF('Column Definition'!E101="FALSE"," Not Null"," Null")</f>
        <v>, []  Null</v>
      </c>
    </row>
    <row r="96" spans="1:1" x14ac:dyDescent="0.25">
      <c r="A96" t="str">
        <f>", ["&amp;'Column Definition'!C102&amp;"] "&amp;'Column Definition'!F102&amp;IF(ISNUMBER(SEARCH("char",'Column Definition'!F102,1)),"("&amp;SUBSTITUTE('Column Definition'!K102,"-1","max")&amp;")","")&amp;IF('Column Definition'!E102="FALSE"," Not Null"," Null")</f>
        <v>, []  Null</v>
      </c>
    </row>
    <row r="97" spans="1:1" x14ac:dyDescent="0.25">
      <c r="A97" t="str">
        <f>", ["&amp;'Column Definition'!C103&amp;"] "&amp;'Column Definition'!F103&amp;IF(ISNUMBER(SEARCH("char",'Column Definition'!F103,1)),"("&amp;SUBSTITUTE('Column Definition'!K103,"-1","max")&amp;")","")&amp;IF('Column Definition'!E103="FALSE"," Not Null"," Null")</f>
        <v>, []  Null</v>
      </c>
    </row>
    <row r="98" spans="1:1" x14ac:dyDescent="0.25">
      <c r="A98" t="str">
        <f>", ["&amp;'Column Definition'!C104&amp;"] "&amp;'Column Definition'!F104&amp;IF(ISNUMBER(SEARCH("char",'Column Definition'!F104,1)),"("&amp;SUBSTITUTE('Column Definition'!K104,"-1","max")&amp;")","")&amp;IF('Column Definition'!E104="FALSE"," Not Null"," Null")</f>
        <v>, []  Null</v>
      </c>
    </row>
    <row r="99" spans="1:1" x14ac:dyDescent="0.25">
      <c r="A99" t="str">
        <f>", ["&amp;'Column Definition'!C105&amp;"] "&amp;'Column Definition'!F105&amp;IF(ISNUMBER(SEARCH("char",'Column Definition'!F105,1)),"("&amp;SUBSTITUTE('Column Definition'!K105,"-1","max")&amp;")","")&amp;IF('Column Definition'!E105="FALSE"," Not Null"," Null")</f>
        <v>, []  Null</v>
      </c>
    </row>
    <row r="100" spans="1:1" x14ac:dyDescent="0.25">
      <c r="A100" t="str">
        <f>", ["&amp;'Column Definition'!C106&amp;"] "&amp;'Column Definition'!F106&amp;IF(ISNUMBER(SEARCH("char",'Column Definition'!F106,1)),"("&amp;SUBSTITUTE('Column Definition'!K106,"-1","max")&amp;")","")&amp;IF('Column Definition'!E106="FALSE"," Not Null"," Null")</f>
        <v>, []  Null</v>
      </c>
    </row>
    <row r="101" spans="1:1" x14ac:dyDescent="0.25">
      <c r="A101" t="str">
        <f>", ["&amp;'Column Definition'!C107&amp;"] "&amp;'Column Definition'!F107&amp;IF(ISNUMBER(SEARCH("char",'Column Definition'!F107,1)),"("&amp;SUBSTITUTE('Column Definition'!K107,"-1","max")&amp;")","")&amp;IF('Column Definition'!E107="FALSE"," Not Null"," Null")</f>
        <v>, []  Null</v>
      </c>
    </row>
    <row r="102" spans="1:1" x14ac:dyDescent="0.25">
      <c r="A102" t="str">
        <f>", ["&amp;'Column Definition'!C108&amp;"] "&amp;'Column Definition'!F108&amp;IF(ISNUMBER(SEARCH("char",'Column Definition'!F108,1)),"("&amp;SUBSTITUTE('Column Definition'!K108,"-1","max")&amp;")","")&amp;IF('Column Definition'!E108="FALSE"," Not Null"," Null")</f>
        <v>, []  Null</v>
      </c>
    </row>
    <row r="103" spans="1:1" x14ac:dyDescent="0.25">
      <c r="A103" t="str">
        <f>", ["&amp;'Column Definition'!C109&amp;"] "&amp;'Column Definition'!F109&amp;IF(ISNUMBER(SEARCH("char",'Column Definition'!F109,1)),"("&amp;SUBSTITUTE('Column Definition'!K109,"-1","max")&amp;")","")&amp;IF('Column Definition'!E109="FALSE"," Not Null"," Null")</f>
        <v>, []  Null</v>
      </c>
    </row>
    <row r="104" spans="1:1" x14ac:dyDescent="0.25">
      <c r="A104" t="str">
        <f>", ["&amp;'Column Definition'!C110&amp;"] "&amp;'Column Definition'!F110&amp;IF(ISNUMBER(SEARCH("char",'Column Definition'!F110,1)),"("&amp;SUBSTITUTE('Column Definition'!K110,"-1","max")&amp;")","")&amp;IF('Column Definition'!E110="FALSE"," Not Null"," Null")</f>
        <v>, []  Null</v>
      </c>
    </row>
    <row r="105" spans="1:1" x14ac:dyDescent="0.25">
      <c r="A105" t="str">
        <f>", ["&amp;'Column Definition'!C111&amp;"] "&amp;'Column Definition'!F111&amp;IF(ISNUMBER(SEARCH("char",'Column Definition'!F111,1)),"("&amp;SUBSTITUTE('Column Definition'!K111,"-1","max")&amp;")","")&amp;IF('Column Definition'!E111="FALSE"," Not Null"," Null")</f>
        <v>, []  Null</v>
      </c>
    </row>
    <row r="106" spans="1:1" x14ac:dyDescent="0.25">
      <c r="A106" t="str">
        <f>", ["&amp;'Column Definition'!C112&amp;"] "&amp;'Column Definition'!F112&amp;IF(ISNUMBER(SEARCH("char",'Column Definition'!F112,1)),"("&amp;SUBSTITUTE('Column Definition'!K112,"-1","max")&amp;")","")&amp;IF('Column Definition'!E112="FALSE"," Not Null"," Null")</f>
        <v>, []  Null</v>
      </c>
    </row>
    <row r="107" spans="1:1" x14ac:dyDescent="0.25">
      <c r="A107" t="str">
        <f>", ["&amp;'Column Definition'!C113&amp;"] "&amp;'Column Definition'!F113&amp;IF(ISNUMBER(SEARCH("char",'Column Definition'!F113,1)),"("&amp;SUBSTITUTE('Column Definition'!K113,"-1","max")&amp;")","")&amp;IF('Column Definition'!E113="FALSE"," Not Null"," Null")</f>
        <v>, []  Null</v>
      </c>
    </row>
    <row r="108" spans="1:1" x14ac:dyDescent="0.25">
      <c r="A108" t="str">
        <f>", ["&amp;'Column Definition'!C114&amp;"] "&amp;'Column Definition'!F114&amp;IF(ISNUMBER(SEARCH("char",'Column Definition'!F114,1)),"("&amp;SUBSTITUTE('Column Definition'!K114,"-1","max")&amp;")","")&amp;IF('Column Definition'!E114="FALSE"," Not Null"," Null")</f>
        <v>, []  Null</v>
      </c>
    </row>
    <row r="109" spans="1:1" x14ac:dyDescent="0.25">
      <c r="A109" t="str">
        <f>", ["&amp;'Column Definition'!C115&amp;"] "&amp;'Column Definition'!F115&amp;IF(ISNUMBER(SEARCH("char",'Column Definition'!F115,1)),"("&amp;SUBSTITUTE('Column Definition'!K115,"-1","max")&amp;")","")&amp;IF('Column Definition'!E115="FALSE"," Not Null"," Null")</f>
        <v>, []  Null</v>
      </c>
    </row>
    <row r="110" spans="1:1" x14ac:dyDescent="0.25">
      <c r="A110" t="str">
        <f>", ["&amp;'Column Definition'!C116&amp;"] "&amp;'Column Definition'!F116&amp;IF(ISNUMBER(SEARCH("char",'Column Definition'!F116,1)),"("&amp;SUBSTITUTE('Column Definition'!K116,"-1","max")&amp;")","")&amp;IF('Column Definition'!E116="FALSE"," Not Null"," Null")</f>
        <v>, []  Null</v>
      </c>
    </row>
    <row r="111" spans="1:1" x14ac:dyDescent="0.25">
      <c r="A111" t="str">
        <f>", ["&amp;'Column Definition'!C117&amp;"] "&amp;'Column Definition'!F117&amp;IF(ISNUMBER(SEARCH("char",'Column Definition'!F117,1)),"("&amp;SUBSTITUTE('Column Definition'!K117,"-1","max")&amp;")","")&amp;IF('Column Definition'!E117="FALSE"," Not Null"," Null")</f>
        <v>, []  Null</v>
      </c>
    </row>
    <row r="112" spans="1:1" x14ac:dyDescent="0.25">
      <c r="A112" t="str">
        <f>", ["&amp;'Column Definition'!C118&amp;"] "&amp;'Column Definition'!F118&amp;IF(ISNUMBER(SEARCH("char",'Column Definition'!F118,1)),"("&amp;SUBSTITUTE('Column Definition'!K118,"-1","max")&amp;")","")&amp;IF('Column Definition'!E118="FALSE"," Not Null"," Null")</f>
        <v>, []  Null</v>
      </c>
    </row>
    <row r="113" spans="1:1" x14ac:dyDescent="0.25">
      <c r="A113" t="str">
        <f>", ["&amp;'Column Definition'!C119&amp;"] "&amp;'Column Definition'!F119&amp;IF(ISNUMBER(SEARCH("char",'Column Definition'!F119,1)),"("&amp;SUBSTITUTE('Column Definition'!K119,"-1","max")&amp;")","")&amp;IF('Column Definition'!E119="FALSE"," Not Null"," Null")</f>
        <v>, []  Null</v>
      </c>
    </row>
    <row r="114" spans="1:1" x14ac:dyDescent="0.25">
      <c r="A114" t="str">
        <f>", ["&amp;'Column Definition'!C120&amp;"] "&amp;'Column Definition'!F120&amp;IF(ISNUMBER(SEARCH("char",'Column Definition'!F120,1)),"("&amp;SUBSTITUTE('Column Definition'!K120,"-1","max")&amp;")","")&amp;IF('Column Definition'!E120="FALSE"," Not Null"," Null")</f>
        <v>, []  Null</v>
      </c>
    </row>
    <row r="115" spans="1:1" x14ac:dyDescent="0.25">
      <c r="A115" t="str">
        <f>", ["&amp;'Column Definition'!C121&amp;"] "&amp;'Column Definition'!F121&amp;IF(ISNUMBER(SEARCH("char",'Column Definition'!F121,1)),"("&amp;SUBSTITUTE('Column Definition'!K121,"-1","max")&amp;")","")&amp;IF('Column Definition'!E121="FALSE"," Not Null"," Null")</f>
        <v>, []  Null</v>
      </c>
    </row>
    <row r="116" spans="1:1" x14ac:dyDescent="0.25">
      <c r="A116" t="str">
        <f>", ["&amp;'Column Definition'!C122&amp;"] "&amp;'Column Definition'!F122&amp;IF(ISNUMBER(SEARCH("char",'Column Definition'!F122,1)),"("&amp;SUBSTITUTE('Column Definition'!K122,"-1","max")&amp;")","")&amp;IF('Column Definition'!E122="FALSE"," Not Null"," Null")</f>
        <v>, []  Null</v>
      </c>
    </row>
    <row r="117" spans="1:1" x14ac:dyDescent="0.25">
      <c r="A117" t="str">
        <f>", ["&amp;'Column Definition'!C123&amp;"] "&amp;'Column Definition'!F123&amp;IF(ISNUMBER(SEARCH("char",'Column Definition'!F123,1)),"("&amp;SUBSTITUTE('Column Definition'!K123,"-1","max")&amp;")","")&amp;IF('Column Definition'!E123="FALSE"," Not Null"," Null")</f>
        <v>, []  Null</v>
      </c>
    </row>
    <row r="118" spans="1:1" x14ac:dyDescent="0.25">
      <c r="A118" t="str">
        <f>", ["&amp;'Column Definition'!C124&amp;"] "&amp;'Column Definition'!F124&amp;IF(ISNUMBER(SEARCH("char",'Column Definition'!F124,1)),"("&amp;SUBSTITUTE('Column Definition'!K124,"-1","max")&amp;")","")&amp;IF('Column Definition'!E124="FALSE"," Not Null"," Null")</f>
        <v>, []  Null</v>
      </c>
    </row>
    <row r="119" spans="1:1" x14ac:dyDescent="0.25">
      <c r="A119" t="str">
        <f>", ["&amp;'Column Definition'!C125&amp;"] "&amp;'Column Definition'!F125&amp;IF(ISNUMBER(SEARCH("char",'Column Definition'!F125,1)),"("&amp;SUBSTITUTE('Column Definition'!K125,"-1","max")&amp;")","")&amp;IF('Column Definition'!E125="FALSE"," Not Null"," Null")</f>
        <v>, []  Null</v>
      </c>
    </row>
    <row r="120" spans="1:1" x14ac:dyDescent="0.25">
      <c r="A120" t="str">
        <f>", ["&amp;'Column Definition'!C126&amp;"] "&amp;'Column Definition'!F126&amp;IF(ISNUMBER(SEARCH("char",'Column Definition'!F126,1)),"("&amp;SUBSTITUTE('Column Definition'!K126,"-1","max")&amp;")","")&amp;IF('Column Definition'!E126="FALSE"," Not Null"," Null")</f>
        <v>, []  Null</v>
      </c>
    </row>
    <row r="121" spans="1:1" x14ac:dyDescent="0.25">
      <c r="A121" t="str">
        <f>", ["&amp;'Column Definition'!C127&amp;"] "&amp;'Column Definition'!F127&amp;IF(ISNUMBER(SEARCH("char",'Column Definition'!F127,1)),"("&amp;SUBSTITUTE('Column Definition'!K127,"-1","max")&amp;")","")&amp;IF('Column Definition'!E127="FALSE"," Not Null"," Null")</f>
        <v>, []  Null</v>
      </c>
    </row>
    <row r="122" spans="1:1" x14ac:dyDescent="0.25">
      <c r="A122" t="str">
        <f>", ["&amp;'Column Definition'!C128&amp;"] "&amp;'Column Definition'!F128&amp;IF(ISNUMBER(SEARCH("char",'Column Definition'!F128,1)),"("&amp;SUBSTITUTE('Column Definition'!K128,"-1","max")&amp;")","")&amp;IF('Column Definition'!E128="FALSE"," Not Null"," Null")</f>
        <v>, []  Null</v>
      </c>
    </row>
    <row r="123" spans="1:1" x14ac:dyDescent="0.25">
      <c r="A123" t="str">
        <f>", ["&amp;'Column Definition'!C129&amp;"] "&amp;'Column Definition'!F129&amp;IF(ISNUMBER(SEARCH("char",'Column Definition'!F129,1)),"("&amp;SUBSTITUTE('Column Definition'!K129,"-1","max")&amp;")","")&amp;IF('Column Definition'!E129="FALSE"," Not Null"," Null")</f>
        <v>, []  Null</v>
      </c>
    </row>
    <row r="124" spans="1:1" x14ac:dyDescent="0.25">
      <c r="A124" t="str">
        <f>", ["&amp;'Column Definition'!C130&amp;"] "&amp;'Column Definition'!F130&amp;IF(ISNUMBER(SEARCH("char",'Column Definition'!F130,1)),"("&amp;SUBSTITUTE('Column Definition'!K130,"-1","max")&amp;")","")&amp;IF('Column Definition'!E130="FALSE"," Not Null"," Null")</f>
        <v>, []  Null</v>
      </c>
    </row>
    <row r="125" spans="1:1" x14ac:dyDescent="0.25">
      <c r="A125" t="str">
        <f>", ["&amp;'Column Definition'!C131&amp;"] "&amp;'Column Definition'!F131&amp;IF(ISNUMBER(SEARCH("char",'Column Definition'!F131,1)),"("&amp;SUBSTITUTE('Column Definition'!K131,"-1","max")&amp;")","")&amp;IF('Column Definition'!E131="FALSE"," Not Null"," Null")</f>
        <v>, []  Null</v>
      </c>
    </row>
    <row r="126" spans="1:1" x14ac:dyDescent="0.25">
      <c r="A126" t="str">
        <f>", ["&amp;'Column Definition'!C132&amp;"] "&amp;'Column Definition'!F132&amp;IF(ISNUMBER(SEARCH("char",'Column Definition'!F132,1)),"("&amp;SUBSTITUTE('Column Definition'!K132,"-1","max")&amp;")","")&amp;IF('Column Definition'!E132="FALSE"," Not Null"," Null")</f>
        <v>, []  Null</v>
      </c>
    </row>
    <row r="127" spans="1:1" x14ac:dyDescent="0.25">
      <c r="A127" t="str">
        <f>", ["&amp;'Column Definition'!C133&amp;"] "&amp;'Column Definition'!F133&amp;IF(ISNUMBER(SEARCH("char",'Column Definition'!F133,1)),"("&amp;SUBSTITUTE('Column Definition'!K133,"-1","max")&amp;")","")&amp;IF('Column Definition'!E133="FALSE"," Not Null"," Null")</f>
        <v>, []  Null</v>
      </c>
    </row>
    <row r="128" spans="1:1" x14ac:dyDescent="0.25">
      <c r="A128" t="str">
        <f>", ["&amp;'Column Definition'!C134&amp;"] "&amp;'Column Definition'!F134&amp;IF(ISNUMBER(SEARCH("char",'Column Definition'!F134,1)),"("&amp;SUBSTITUTE('Column Definition'!K134,"-1","max")&amp;")","")&amp;IF('Column Definition'!E134="FALSE"," Not Null"," Null")</f>
        <v>, []  Null</v>
      </c>
    </row>
    <row r="129" spans="1:1" x14ac:dyDescent="0.25">
      <c r="A129" t="str">
        <f>", ["&amp;'Column Definition'!C135&amp;"] "&amp;'Column Definition'!F135&amp;IF(ISNUMBER(SEARCH("char",'Column Definition'!F135,1)),"("&amp;SUBSTITUTE('Column Definition'!K135,"-1","max")&amp;")","")&amp;IF('Column Definition'!E135="FALSE"," Not Null"," Null")</f>
        <v>, []  Null</v>
      </c>
    </row>
    <row r="130" spans="1:1" x14ac:dyDescent="0.25">
      <c r="A130" t="str">
        <f>", ["&amp;'Column Definition'!C136&amp;"] "&amp;'Column Definition'!F136&amp;IF(ISNUMBER(SEARCH("char",'Column Definition'!F136,1)),"("&amp;SUBSTITUTE('Column Definition'!K136,"-1","max")&amp;")","")&amp;IF('Column Definition'!E136="FALSE"," Not Null"," Null")</f>
        <v>, []  Null</v>
      </c>
    </row>
    <row r="131" spans="1:1" x14ac:dyDescent="0.25">
      <c r="A131" t="str">
        <f>", ["&amp;'Column Definition'!C137&amp;"] "&amp;'Column Definition'!F137&amp;IF(ISNUMBER(SEARCH("char",'Column Definition'!F137,1)),"("&amp;SUBSTITUTE('Column Definition'!K137,"-1","max")&amp;")","")&amp;IF('Column Definition'!E137="FALSE"," Not Null"," Null")</f>
        <v>, []  Null</v>
      </c>
    </row>
    <row r="132" spans="1:1" x14ac:dyDescent="0.25">
      <c r="A132" t="str">
        <f>", ["&amp;'Column Definition'!C138&amp;"] "&amp;'Column Definition'!F138&amp;IF(ISNUMBER(SEARCH("char",'Column Definition'!F138,1)),"("&amp;SUBSTITUTE('Column Definition'!K138,"-1","max")&amp;")","")&amp;IF('Column Definition'!E138="FALSE"," Not Null"," Null")</f>
        <v>, []  Null</v>
      </c>
    </row>
    <row r="133" spans="1:1" x14ac:dyDescent="0.25">
      <c r="A133" t="str">
        <f>", ["&amp;'Column Definition'!C139&amp;"] "&amp;'Column Definition'!F139&amp;IF(ISNUMBER(SEARCH("char",'Column Definition'!F139,1)),"("&amp;SUBSTITUTE('Column Definition'!K139,"-1","max")&amp;")","")&amp;IF('Column Definition'!E139="FALSE"," Not Null"," Null")</f>
        <v>, []  Null</v>
      </c>
    </row>
    <row r="134" spans="1:1" x14ac:dyDescent="0.25">
      <c r="A134" t="str">
        <f>", ["&amp;'Column Definition'!C140&amp;"] "&amp;'Column Definition'!F140&amp;IF(ISNUMBER(SEARCH("char",'Column Definition'!F140,1)),"("&amp;SUBSTITUTE('Column Definition'!K140,"-1","max")&amp;")","")&amp;IF('Column Definition'!E140="FALSE"," Not Null"," Null")</f>
        <v>, []  Null</v>
      </c>
    </row>
    <row r="135" spans="1:1" x14ac:dyDescent="0.25">
      <c r="A135" t="str">
        <f>", ["&amp;'Column Definition'!C141&amp;"] "&amp;'Column Definition'!F141&amp;IF(ISNUMBER(SEARCH("char",'Column Definition'!F141,1)),"("&amp;SUBSTITUTE('Column Definition'!K141,"-1","max")&amp;")","")&amp;IF('Column Definition'!E141="FALSE"," Not Null"," Null")</f>
        <v>, []  Null</v>
      </c>
    </row>
    <row r="136" spans="1:1" x14ac:dyDescent="0.25">
      <c r="A136" t="str">
        <f>", ["&amp;'Column Definition'!C142&amp;"] "&amp;'Column Definition'!F142&amp;IF(ISNUMBER(SEARCH("char",'Column Definition'!F142,1)),"("&amp;SUBSTITUTE('Column Definition'!K142,"-1","max")&amp;")","")&amp;IF('Column Definition'!E142="FALSE"," Not Null"," Null")</f>
        <v>, []  Null</v>
      </c>
    </row>
    <row r="137" spans="1:1" x14ac:dyDescent="0.25">
      <c r="A137" t="str">
        <f>", ["&amp;'Column Definition'!C143&amp;"] "&amp;'Column Definition'!F143&amp;IF(ISNUMBER(SEARCH("char",'Column Definition'!F143,1)),"("&amp;SUBSTITUTE('Column Definition'!K143,"-1","max")&amp;")","")&amp;IF('Column Definition'!E143="FALSE"," Not Null"," Null")</f>
        <v>, []  Null</v>
      </c>
    </row>
    <row r="138" spans="1:1" x14ac:dyDescent="0.25">
      <c r="A138" t="str">
        <f>", ["&amp;'Column Definition'!C144&amp;"] "&amp;'Column Definition'!F144&amp;IF(ISNUMBER(SEARCH("char",'Column Definition'!F144,1)),"("&amp;SUBSTITUTE('Column Definition'!K144,"-1","max")&amp;")","")&amp;IF('Column Definition'!E144="FALSE"," Not Null"," Null")</f>
        <v>, []  Null</v>
      </c>
    </row>
    <row r="139" spans="1:1" x14ac:dyDescent="0.25">
      <c r="A139" t="str">
        <f>", ["&amp;'Column Definition'!C145&amp;"] "&amp;'Column Definition'!F145&amp;IF(ISNUMBER(SEARCH("char",'Column Definition'!F145,1)),"("&amp;SUBSTITUTE('Column Definition'!K145,"-1","max")&amp;")","")&amp;IF('Column Definition'!E145="FALSE"," Not Null"," Null")</f>
        <v>, []  Null</v>
      </c>
    </row>
    <row r="140" spans="1:1" x14ac:dyDescent="0.25">
      <c r="A140" t="str">
        <f>", ["&amp;'Column Definition'!C146&amp;"] "&amp;'Column Definition'!F146&amp;IF(ISNUMBER(SEARCH("char",'Column Definition'!F146,1)),"("&amp;SUBSTITUTE('Column Definition'!K146,"-1","max")&amp;")","")&amp;IF('Column Definition'!E146="FALSE"," Not Null"," Null")</f>
        <v>, []  Null</v>
      </c>
    </row>
    <row r="141" spans="1:1" x14ac:dyDescent="0.25">
      <c r="A141" t="str">
        <f>", ["&amp;'Column Definition'!C147&amp;"] "&amp;'Column Definition'!F147&amp;IF(ISNUMBER(SEARCH("char",'Column Definition'!F147,1)),"("&amp;SUBSTITUTE('Column Definition'!K147,"-1","max")&amp;")","")&amp;IF('Column Definition'!E147="FALSE"," Not Null"," Null")</f>
        <v>, []  Null</v>
      </c>
    </row>
    <row r="142" spans="1:1" x14ac:dyDescent="0.25">
      <c r="A142" t="str">
        <f>", ["&amp;'Column Definition'!C148&amp;"] "&amp;'Column Definition'!F148&amp;IF(ISNUMBER(SEARCH("char",'Column Definition'!F148,1)),"("&amp;SUBSTITUTE('Column Definition'!K148,"-1","max")&amp;")","")&amp;IF('Column Definition'!E148="FALSE"," Not Null"," Null")</f>
        <v>, []  Null</v>
      </c>
    </row>
    <row r="143" spans="1:1" x14ac:dyDescent="0.25">
      <c r="A143" t="str">
        <f>", ["&amp;'Column Definition'!C149&amp;"] "&amp;'Column Definition'!F149&amp;IF(ISNUMBER(SEARCH("char",'Column Definition'!F149,1)),"("&amp;SUBSTITUTE('Column Definition'!K149,"-1","max")&amp;")","")&amp;IF('Column Definition'!E149="FALSE"," Not Null"," Null")</f>
        <v>, []  Null</v>
      </c>
    </row>
    <row r="144" spans="1:1" x14ac:dyDescent="0.25">
      <c r="A144" t="str">
        <f>", ["&amp;'Column Definition'!C150&amp;"] "&amp;'Column Definition'!F150&amp;IF(ISNUMBER(SEARCH("char",'Column Definition'!F150,1)),"("&amp;SUBSTITUTE('Column Definition'!K150,"-1","max")&amp;")","")&amp;IF('Column Definition'!E150="FALSE"," Not Null"," Null")</f>
        <v>, []  Null</v>
      </c>
    </row>
    <row r="145" spans="1:1" x14ac:dyDescent="0.25">
      <c r="A145" t="str">
        <f>", ["&amp;'Column Definition'!C151&amp;"] "&amp;'Column Definition'!F151&amp;IF(ISNUMBER(SEARCH("char",'Column Definition'!F151,1)),"("&amp;SUBSTITUTE('Column Definition'!K151,"-1","max")&amp;")","")&amp;IF('Column Definition'!E151="FALSE"," Not Null"," Null")</f>
        <v>, []  Null</v>
      </c>
    </row>
    <row r="146" spans="1:1" x14ac:dyDescent="0.25">
      <c r="A146" t="str">
        <f>", ["&amp;'Column Definition'!C152&amp;"] "&amp;'Column Definition'!F152&amp;IF(ISNUMBER(SEARCH("char",'Column Definition'!F152,1)),"("&amp;SUBSTITUTE('Column Definition'!K152,"-1","max")&amp;")","")&amp;IF('Column Definition'!E152="FALSE"," Not Null"," Null")</f>
        <v>, []  Null</v>
      </c>
    </row>
    <row r="147" spans="1:1" x14ac:dyDescent="0.25">
      <c r="A147" t="str">
        <f>", ["&amp;'Column Definition'!C153&amp;"] "&amp;'Column Definition'!F153&amp;IF(ISNUMBER(SEARCH("char",'Column Definition'!F153,1)),"("&amp;SUBSTITUTE('Column Definition'!K153,"-1","max")&amp;")","")&amp;IF('Column Definition'!E153="FALSE"," Not Null"," Null")</f>
        <v>, []  Null</v>
      </c>
    </row>
    <row r="148" spans="1:1" x14ac:dyDescent="0.25">
      <c r="A148" t="str">
        <f>", ["&amp;'Column Definition'!C154&amp;"] "&amp;'Column Definition'!F154&amp;IF(ISNUMBER(SEARCH("char",'Column Definition'!F154,1)),"("&amp;SUBSTITUTE('Column Definition'!K154,"-1","max")&amp;")","")&amp;IF('Column Definition'!E154="FALSE"," Not Null"," Null")</f>
        <v>, []  Null</v>
      </c>
    </row>
    <row r="149" spans="1:1" x14ac:dyDescent="0.25">
      <c r="A149" t="str">
        <f>", ["&amp;'Column Definition'!C155&amp;"] "&amp;'Column Definition'!F155&amp;IF(ISNUMBER(SEARCH("char",'Column Definition'!F155,1)),"("&amp;SUBSTITUTE('Column Definition'!K155,"-1","max")&amp;")","")&amp;IF('Column Definition'!E155="FALSE"," Not Null"," Null")</f>
        <v>, []  Null</v>
      </c>
    </row>
    <row r="150" spans="1:1" x14ac:dyDescent="0.25">
      <c r="A150" t="str">
        <f>", ["&amp;'Column Definition'!C156&amp;"] "&amp;'Column Definition'!F156&amp;IF(ISNUMBER(SEARCH("char",'Column Definition'!F156,1)),"("&amp;SUBSTITUTE('Column Definition'!K156,"-1","max")&amp;")","")&amp;IF('Column Definition'!E156="FALSE"," Not Null"," Null")</f>
        <v>, []  Null</v>
      </c>
    </row>
    <row r="151" spans="1:1" x14ac:dyDescent="0.25">
      <c r="A151" t="str">
        <f>", ["&amp;'Column Definition'!C157&amp;"] "&amp;'Column Definition'!F157&amp;IF(ISNUMBER(SEARCH("char",'Column Definition'!F157,1)),"("&amp;SUBSTITUTE('Column Definition'!K157,"-1","max")&amp;")","")&amp;IF('Column Definition'!E157="FALSE"," Not Null"," Null")</f>
        <v>, []  Null</v>
      </c>
    </row>
    <row r="152" spans="1:1" x14ac:dyDescent="0.25">
      <c r="A152" t="str">
        <f>", ["&amp;'Column Definition'!C158&amp;"] "&amp;'Column Definition'!F158&amp;IF(ISNUMBER(SEARCH("char",'Column Definition'!F158,1)),"("&amp;SUBSTITUTE('Column Definition'!K158,"-1","max")&amp;")","")&amp;IF('Column Definition'!E158="FALSE"," Not Null"," Null")</f>
        <v>, []  Null</v>
      </c>
    </row>
    <row r="153" spans="1:1" x14ac:dyDescent="0.25">
      <c r="A153" t="str">
        <f>", ["&amp;'Column Definition'!C159&amp;"] "&amp;'Column Definition'!F159&amp;IF(ISNUMBER(SEARCH("char",'Column Definition'!F159,1)),"("&amp;SUBSTITUTE('Column Definition'!K159,"-1","max")&amp;")","")&amp;IF('Column Definition'!E159="FALSE"," Not Null"," Null")</f>
        <v>, []  Null</v>
      </c>
    </row>
    <row r="154" spans="1:1" x14ac:dyDescent="0.25">
      <c r="A154" t="str">
        <f>", ["&amp;'Column Definition'!C160&amp;"] "&amp;'Column Definition'!F160&amp;IF(ISNUMBER(SEARCH("char",'Column Definition'!F160,1)),"("&amp;SUBSTITUTE('Column Definition'!K160,"-1","max")&amp;")","")&amp;IF('Column Definition'!E160="FALSE"," Not Null"," Null")</f>
        <v>, []  Null</v>
      </c>
    </row>
    <row r="155" spans="1:1" x14ac:dyDescent="0.25">
      <c r="A155" t="str">
        <f>", ["&amp;'Column Definition'!C161&amp;"] "&amp;'Column Definition'!F161&amp;IF(ISNUMBER(SEARCH("char",'Column Definition'!F161,1)),"("&amp;SUBSTITUTE('Column Definition'!K161,"-1","max")&amp;")","")&amp;IF('Column Definition'!E161="FALSE"," Not Null"," Null")</f>
        <v>, []  Null</v>
      </c>
    </row>
    <row r="156" spans="1:1" x14ac:dyDescent="0.25">
      <c r="A156" t="str">
        <f>", ["&amp;'Column Definition'!C162&amp;"] "&amp;'Column Definition'!F162&amp;IF(ISNUMBER(SEARCH("char",'Column Definition'!F162,1)),"("&amp;SUBSTITUTE('Column Definition'!K162,"-1","max")&amp;")","")&amp;IF('Column Definition'!E162="FALSE"," Not Null"," Null")</f>
        <v>, []  Null</v>
      </c>
    </row>
    <row r="157" spans="1:1" x14ac:dyDescent="0.25">
      <c r="A157" t="str">
        <f>", ["&amp;'Column Definition'!C163&amp;"] "&amp;'Column Definition'!F163&amp;IF(ISNUMBER(SEARCH("char",'Column Definition'!F163,1)),"("&amp;SUBSTITUTE('Column Definition'!K163,"-1","max")&amp;")","")&amp;IF('Column Definition'!E163="FALSE"," Not Null"," Null")</f>
        <v>, []  Null</v>
      </c>
    </row>
    <row r="158" spans="1:1" x14ac:dyDescent="0.25">
      <c r="A158" t="str">
        <f>", ["&amp;'Column Definition'!C164&amp;"] "&amp;'Column Definition'!F164&amp;IF(ISNUMBER(SEARCH("char",'Column Definition'!F164,1)),"("&amp;SUBSTITUTE('Column Definition'!K164,"-1","max")&amp;")","")&amp;IF('Column Definition'!E164="FALSE"," Not Null"," Null")</f>
        <v>, []  Null</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F912D-F933-46CF-AEB3-1C88D88FF1E4}">
  <sheetPr codeName="Sheet11"/>
  <dimension ref="A1:D24"/>
  <sheetViews>
    <sheetView workbookViewId="0">
      <selection activeCell="D1" sqref="D1:D18"/>
    </sheetView>
  </sheetViews>
  <sheetFormatPr defaultRowHeight="15" x14ac:dyDescent="0.25"/>
  <cols>
    <col min="1" max="1" width="34.7109375" bestFit="1" customWidth="1"/>
    <col min="3" max="3" width="34.7109375" bestFit="1" customWidth="1"/>
  </cols>
  <sheetData>
    <row r="1" spans="1:4" x14ac:dyDescent="0.25">
      <c r="A1" t="s">
        <v>506</v>
      </c>
      <c r="B1" t="s">
        <v>89</v>
      </c>
      <c r="C1" s="19" t="s">
        <v>506</v>
      </c>
      <c r="D1" t="str">
        <f>A1&amp;B1&amp;C1</f>
        <v>CodeType as CodeType</v>
      </c>
    </row>
    <row r="2" spans="1:4" x14ac:dyDescent="0.25">
      <c r="A2" t="s">
        <v>523</v>
      </c>
      <c r="B2" t="s">
        <v>89</v>
      </c>
      <c r="C2" s="19" t="s">
        <v>507</v>
      </c>
      <c r="D2" t="str">
        <f>", " &amp;A2&amp;B2&amp;C2</f>
        <v>,  Code as Code</v>
      </c>
    </row>
    <row r="3" spans="1:4" x14ac:dyDescent="0.25">
      <c r="A3" t="s">
        <v>524</v>
      </c>
      <c r="B3" t="s">
        <v>89</v>
      </c>
      <c r="C3" s="19" t="s">
        <v>505</v>
      </c>
      <c r="D3" t="str">
        <f>", " &amp;A3&amp;B3&amp;C3</f>
        <v>,  Description as Description</v>
      </c>
    </row>
    <row r="4" spans="1:4" x14ac:dyDescent="0.25">
      <c r="A4" t="s">
        <v>525</v>
      </c>
      <c r="B4" t="s">
        <v>89</v>
      </c>
      <c r="C4" t="s">
        <v>508</v>
      </c>
      <c r="D4" t="str">
        <f t="shared" ref="D4:D5" si="0">", " &amp;A4&amp;B4&amp;C4</f>
        <v>,  FinanceCompanyName as FinanceCompanyName</v>
      </c>
    </row>
    <row r="5" spans="1:4" x14ac:dyDescent="0.25">
      <c r="A5" t="s">
        <v>526</v>
      </c>
      <c r="B5" t="s">
        <v>89</v>
      </c>
      <c r="C5" s="20" t="s">
        <v>509</v>
      </c>
      <c r="D5" t="str">
        <f t="shared" si="0"/>
        <v>,  IsDefault as IsDefault</v>
      </c>
    </row>
    <row r="6" spans="1:4" x14ac:dyDescent="0.25">
      <c r="A6" t="s">
        <v>527</v>
      </c>
      <c r="B6" t="s">
        <v>89</v>
      </c>
      <c r="C6" s="20" t="s">
        <v>510</v>
      </c>
      <c r="D6" t="str">
        <f t="shared" ref="D6:D18" si="1">", " &amp;A6&amp;B6&amp;C6</f>
        <v>,  IsActive as IsActive</v>
      </c>
    </row>
    <row r="7" spans="1:4" x14ac:dyDescent="0.25">
      <c r="A7" t="s">
        <v>528</v>
      </c>
      <c r="B7" t="s">
        <v>89</v>
      </c>
      <c r="C7" s="20" t="s">
        <v>511</v>
      </c>
      <c r="D7" t="str">
        <f t="shared" si="1"/>
        <v>,  InactiveDate as InactiveDate</v>
      </c>
    </row>
    <row r="8" spans="1:4" x14ac:dyDescent="0.25">
      <c r="A8" t="s">
        <v>529</v>
      </c>
      <c r="B8" t="s">
        <v>89</v>
      </c>
      <c r="C8" s="20" t="s">
        <v>512</v>
      </c>
      <c r="D8" t="str">
        <f t="shared" si="1"/>
        <v>,  GLSegmentValue as GLSegmentValue</v>
      </c>
    </row>
    <row r="9" spans="1:4" x14ac:dyDescent="0.25">
      <c r="A9" t="s">
        <v>530</v>
      </c>
      <c r="B9" t="s">
        <v>89</v>
      </c>
      <c r="C9" s="20" t="s">
        <v>513</v>
      </c>
      <c r="D9" t="str">
        <f t="shared" si="1"/>
        <v>,  Attribute1 as Attribute1</v>
      </c>
    </row>
    <row r="10" spans="1:4" x14ac:dyDescent="0.25">
      <c r="A10" t="s">
        <v>531</v>
      </c>
      <c r="B10" t="s">
        <v>89</v>
      </c>
      <c r="C10" s="20" t="s">
        <v>514</v>
      </c>
      <c r="D10" t="str">
        <f t="shared" si="1"/>
        <v>,  Attribute2 as Attribute2</v>
      </c>
    </row>
    <row r="11" spans="1:4" x14ac:dyDescent="0.25">
      <c r="A11" t="s">
        <v>532</v>
      </c>
      <c r="B11" t="s">
        <v>89</v>
      </c>
      <c r="C11" s="20" t="s">
        <v>515</v>
      </c>
      <c r="D11" t="str">
        <f t="shared" si="1"/>
        <v>,  Attribute3 as Attribute3</v>
      </c>
    </row>
    <row r="12" spans="1:4" x14ac:dyDescent="0.25">
      <c r="A12" t="s">
        <v>533</v>
      </c>
      <c r="B12" t="s">
        <v>89</v>
      </c>
      <c r="C12" s="20" t="s">
        <v>516</v>
      </c>
      <c r="D12" t="str">
        <f t="shared" si="1"/>
        <v>,  Attribute4 as Attribute4</v>
      </c>
    </row>
    <row r="13" spans="1:4" x14ac:dyDescent="0.25">
      <c r="A13" t="s">
        <v>534</v>
      </c>
      <c r="B13" t="s">
        <v>89</v>
      </c>
      <c r="C13" s="20" t="s">
        <v>517</v>
      </c>
      <c r="D13" t="str">
        <f t="shared" si="1"/>
        <v>,  Attribute5 as Attribute5</v>
      </c>
    </row>
    <row r="14" spans="1:4" x14ac:dyDescent="0.25">
      <c r="A14" t="s">
        <v>535</v>
      </c>
      <c r="B14" t="s">
        <v>89</v>
      </c>
      <c r="C14" s="20" t="s">
        <v>518</v>
      </c>
      <c r="D14" t="str">
        <f t="shared" si="1"/>
        <v>,  Attribute6 as Attribute6</v>
      </c>
    </row>
    <row r="15" spans="1:4" x14ac:dyDescent="0.25">
      <c r="A15" t="s">
        <v>536</v>
      </c>
      <c r="B15" t="s">
        <v>89</v>
      </c>
      <c r="C15" s="20" t="s">
        <v>519</v>
      </c>
      <c r="D15" t="str">
        <f t="shared" si="1"/>
        <v>,  Attribute7 as Attribute7</v>
      </c>
    </row>
    <row r="16" spans="1:4" x14ac:dyDescent="0.25">
      <c r="A16" t="s">
        <v>537</v>
      </c>
      <c r="B16" t="s">
        <v>89</v>
      </c>
      <c r="C16" s="20" t="s">
        <v>520</v>
      </c>
      <c r="D16" t="str">
        <f t="shared" si="1"/>
        <v>,  Attribute8 as Attribute8</v>
      </c>
    </row>
    <row r="17" spans="1:4" x14ac:dyDescent="0.25">
      <c r="A17" t="s">
        <v>538</v>
      </c>
      <c r="B17" t="s">
        <v>89</v>
      </c>
      <c r="C17" s="20" t="s">
        <v>521</v>
      </c>
      <c r="D17" t="str">
        <f t="shared" si="1"/>
        <v>,  Attribute9 as Attribute9</v>
      </c>
    </row>
    <row r="18" spans="1:4" x14ac:dyDescent="0.25">
      <c r="A18" t="s">
        <v>539</v>
      </c>
      <c r="B18" t="s">
        <v>89</v>
      </c>
      <c r="C18" s="20" t="s">
        <v>522</v>
      </c>
      <c r="D18" t="str">
        <f t="shared" si="1"/>
        <v>,  Attribute10 as Attribute10</v>
      </c>
    </row>
    <row r="19" spans="1:4" x14ac:dyDescent="0.25">
      <c r="A19" s="6"/>
      <c r="C19" s="6"/>
    </row>
    <row r="20" spans="1:4" x14ac:dyDescent="0.25">
      <c r="A20" s="8"/>
      <c r="C20" s="8"/>
    </row>
    <row r="21" spans="1:4" x14ac:dyDescent="0.25">
      <c r="A21" s="6"/>
      <c r="C21" s="6"/>
    </row>
    <row r="22" spans="1:4" x14ac:dyDescent="0.25">
      <c r="A22" s="8"/>
      <c r="C22" s="8"/>
    </row>
    <row r="23" spans="1:4" x14ac:dyDescent="0.25">
      <c r="A23" s="6"/>
      <c r="C23" s="6"/>
    </row>
    <row r="24" spans="1:4" x14ac:dyDescent="0.25">
      <c r="A24" s="8"/>
      <c r="C24" s="8"/>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35959-6276-4EC7-BDFE-3076DCB6BA6B}">
  <sheetPr codeName="Sheet13"/>
  <dimension ref="A1:B121"/>
  <sheetViews>
    <sheetView workbookViewId="0">
      <selection activeCell="B3" sqref="B3:B118"/>
    </sheetView>
  </sheetViews>
  <sheetFormatPr defaultRowHeight="15" x14ac:dyDescent="0.25"/>
  <cols>
    <col min="1" max="1" width="41.140625" bestFit="1" customWidth="1"/>
  </cols>
  <sheetData>
    <row r="1" spans="1:2" x14ac:dyDescent="0.25">
      <c r="A1" t="s">
        <v>101</v>
      </c>
    </row>
    <row r="2" spans="1:2" x14ac:dyDescent="0.25">
      <c r="A2" t="s">
        <v>199</v>
      </c>
    </row>
    <row r="3" spans="1:2" x14ac:dyDescent="0.25">
      <c r="A3" t="s">
        <v>200</v>
      </c>
      <c r="B3" t="str">
        <f>", "&amp;A3</f>
        <v>, 'I' as BusinessorIndividual</v>
      </c>
    </row>
    <row r="4" spans="1:2" x14ac:dyDescent="0.25">
      <c r="A4" t="s">
        <v>201</v>
      </c>
      <c r="B4" t="str">
        <f t="shared" ref="B4:B67" si="0">", "&amp;A4</f>
        <v>, Null as BusinessName</v>
      </c>
    </row>
    <row r="5" spans="1:2" x14ac:dyDescent="0.25">
      <c r="A5" t="s">
        <v>202</v>
      </c>
      <c r="B5" t="str">
        <f t="shared" si="0"/>
        <v>, dc.FirstName as FirstName</v>
      </c>
    </row>
    <row r="6" spans="1:2" x14ac:dyDescent="0.25">
      <c r="A6" t="s">
        <v>102</v>
      </c>
      <c r="B6" t="str">
        <f t="shared" si="0"/>
        <v>, Null as MiddleName</v>
      </c>
    </row>
    <row r="7" spans="1:2" x14ac:dyDescent="0.25">
      <c r="A7" t="s">
        <v>203</v>
      </c>
      <c r="B7" t="str">
        <f t="shared" si="0"/>
        <v>, dc.LastName as LastName</v>
      </c>
    </row>
    <row r="8" spans="1:2" x14ac:dyDescent="0.25">
      <c r="A8" t="s">
        <v>103</v>
      </c>
      <c r="B8" t="str">
        <f t="shared" si="0"/>
        <v>, Null as Salutation</v>
      </c>
    </row>
    <row r="9" spans="1:2" x14ac:dyDescent="0.25">
      <c r="A9" t="s">
        <v>104</v>
      </c>
      <c r="B9" t="str">
        <f t="shared" si="0"/>
        <v>, Null as Suffix</v>
      </c>
    </row>
    <row r="10" spans="1:2" x14ac:dyDescent="0.25">
      <c r="A10" t="s">
        <v>204</v>
      </c>
      <c r="B10" t="str">
        <f t="shared" si="0"/>
        <v>, 'Customer|Contact' as Roles</v>
      </c>
    </row>
    <row r="11" spans="1:2" x14ac:dyDescent="0.25">
      <c r="A11" t="s">
        <v>105</v>
      </c>
      <c r="B11" t="str">
        <f t="shared" si="0"/>
        <v>, Null as AccountGroup</v>
      </c>
    </row>
    <row r="12" spans="1:2" x14ac:dyDescent="0.25">
      <c r="A12" t="s">
        <v>205</v>
      </c>
      <c r="B12" t="str">
        <f t="shared" si="0"/>
        <v>, dc2.CompanyName as ParentCompany</v>
      </c>
    </row>
    <row r="13" spans="1:2" x14ac:dyDescent="0.25">
      <c r="A13" t="s">
        <v>106</v>
      </c>
      <c r="B13" t="str">
        <f t="shared" si="0"/>
        <v>, Null as CAC_Company</v>
      </c>
    </row>
    <row r="14" spans="1:2" x14ac:dyDescent="0.25">
      <c r="A14" t="s">
        <v>107</v>
      </c>
      <c r="B14" t="str">
        <f t="shared" si="0"/>
        <v>, Null as CashApplicationCode</v>
      </c>
    </row>
    <row r="15" spans="1:2" x14ac:dyDescent="0.25">
      <c r="A15" t="s">
        <v>108</v>
      </c>
      <c r="B15" t="str">
        <f t="shared" si="0"/>
        <v>, Null as DC_Company</v>
      </c>
    </row>
    <row r="16" spans="1:2" x14ac:dyDescent="0.25">
      <c r="A16" t="s">
        <v>109</v>
      </c>
      <c r="B16" t="str">
        <f t="shared" si="0"/>
        <v>, Null as DelinquencyCode</v>
      </c>
    </row>
    <row r="17" spans="1:2" x14ac:dyDescent="0.25">
      <c r="A17" t="s">
        <v>110</v>
      </c>
      <c r="B17" t="str">
        <f t="shared" si="0"/>
        <v>, 'Active' as AccountStatus</v>
      </c>
    </row>
    <row r="18" spans="1:2" x14ac:dyDescent="0.25">
      <c r="A18" t="s">
        <v>206</v>
      </c>
      <c r="B18" t="str">
        <f t="shared" si="0"/>
        <v>, dc.LastName as LegalName</v>
      </c>
    </row>
    <row r="19" spans="1:2" x14ac:dyDescent="0.25">
      <c r="A19" t="s">
        <v>111</v>
      </c>
      <c r="B19" t="str">
        <f t="shared" si="0"/>
        <v>, Null as AlternateName</v>
      </c>
    </row>
    <row r="20" spans="1:2" x14ac:dyDescent="0.25">
      <c r="A20" t="s">
        <v>207</v>
      </c>
      <c r="B20" t="str">
        <f t="shared" si="0"/>
        <v>, dp.EmailAddress as Email</v>
      </c>
    </row>
    <row r="21" spans="1:2" x14ac:dyDescent="0.25">
      <c r="A21" t="s">
        <v>112</v>
      </c>
      <c r="B21" t="str">
        <f t="shared" si="0"/>
        <v>, Null as SalesRepresentative</v>
      </c>
    </row>
    <row r="22" spans="1:2" x14ac:dyDescent="0.25">
      <c r="A22" t="s">
        <v>113</v>
      </c>
      <c r="B22" t="str">
        <f t="shared" si="0"/>
        <v>, Null as Collector</v>
      </c>
    </row>
    <row r="23" spans="1:2" x14ac:dyDescent="0.25">
      <c r="A23" t="s">
        <v>114</v>
      </c>
      <c r="B23" t="str">
        <f t="shared" si="0"/>
        <v>, Null as CollectionTeam</v>
      </c>
    </row>
    <row r="24" spans="1:2" x14ac:dyDescent="0.25">
      <c r="A24" t="s">
        <v>115</v>
      </c>
      <c r="B24" t="str">
        <f t="shared" si="0"/>
        <v>, 'False' as IsPermanentCollectionAssignment</v>
      </c>
    </row>
    <row r="25" spans="1:2" x14ac:dyDescent="0.25">
      <c r="A25" t="s">
        <v>116</v>
      </c>
      <c r="B25" t="str">
        <f t="shared" si="0"/>
        <v>, Null as InvoiceCode</v>
      </c>
    </row>
    <row r="26" spans="1:2" x14ac:dyDescent="0.25">
      <c r="A26" t="s">
        <v>117</v>
      </c>
      <c r="B26" t="str">
        <f t="shared" si="0"/>
        <v>, Null as InvoiceLeadDays</v>
      </c>
    </row>
    <row r="27" spans="1:2" x14ac:dyDescent="0.25">
      <c r="A27" t="s">
        <v>118</v>
      </c>
      <c r="B27" t="str">
        <f t="shared" si="0"/>
        <v>, 'USD' as Currency</v>
      </c>
    </row>
    <row r="28" spans="1:2" x14ac:dyDescent="0.25">
      <c r="A28" t="s">
        <v>208</v>
      </c>
      <c r="B28" t="str">
        <f t="shared" si="0"/>
        <v>, dc.SSN as SSN</v>
      </c>
    </row>
    <row r="29" spans="1:2" x14ac:dyDescent="0.25">
      <c r="A29" t="s">
        <v>119</v>
      </c>
      <c r="B29" t="str">
        <f t="shared" si="0"/>
        <v>, Null as License</v>
      </c>
    </row>
    <row r="30" spans="1:2" x14ac:dyDescent="0.25">
      <c r="A30" t="s">
        <v>209</v>
      </c>
      <c r="B30" t="str">
        <f t="shared" si="0"/>
        <v>, Null as DBA</v>
      </c>
    </row>
    <row r="31" spans="1:2" x14ac:dyDescent="0.25">
      <c r="A31" t="s">
        <v>120</v>
      </c>
      <c r="B31" t="str">
        <f t="shared" si="0"/>
        <v>, 'Transportation' as NatureofBusiness</v>
      </c>
    </row>
    <row r="32" spans="1:2" x14ac:dyDescent="0.25">
      <c r="A32" t="s">
        <v>210</v>
      </c>
      <c r="B32" t="str">
        <f t="shared" si="0"/>
        <v>, Null as CompanyType</v>
      </c>
    </row>
    <row r="33" spans="1:2" x14ac:dyDescent="0.25">
      <c r="A33" t="s">
        <v>211</v>
      </c>
      <c r="B33" t="str">
        <f t="shared" si="0"/>
        <v>, Null as IndustryType</v>
      </c>
    </row>
    <row r="34" spans="1:2" x14ac:dyDescent="0.25">
      <c r="A34" t="s">
        <v>121</v>
      </c>
      <c r="B34" t="str">
        <f t="shared" si="0"/>
        <v>, Null as StateofIncorporation</v>
      </c>
    </row>
    <row r="35" spans="1:2" x14ac:dyDescent="0.25">
      <c r="A35" t="s">
        <v>122</v>
      </c>
      <c r="B35" t="str">
        <f t="shared" si="0"/>
        <v>, Null as StateIdNumber</v>
      </c>
    </row>
    <row r="36" spans="1:2" x14ac:dyDescent="0.25">
      <c r="A36" t="s">
        <v>123</v>
      </c>
      <c r="B36" t="str">
        <f t="shared" si="0"/>
        <v>, Null as BusinessStartDate</v>
      </c>
    </row>
    <row r="37" spans="1:2" x14ac:dyDescent="0.25">
      <c r="A37" t="s">
        <v>124</v>
      </c>
      <c r="B37" t="str">
        <f t="shared" si="0"/>
        <v>, Null as CurrentOwnershipDate</v>
      </c>
    </row>
    <row r="38" spans="1:2" x14ac:dyDescent="0.25">
      <c r="A38" t="s">
        <v>125</v>
      </c>
      <c r="B38" t="str">
        <f t="shared" si="0"/>
        <v>, Null as DUNSNumber</v>
      </c>
    </row>
    <row r="39" spans="1:2" x14ac:dyDescent="0.25">
      <c r="A39" t="s">
        <v>126</v>
      </c>
      <c r="B39" t="str">
        <f t="shared" si="0"/>
        <v>, Null as ExperianFileID</v>
      </c>
    </row>
    <row r="40" spans="1:2" x14ac:dyDescent="0.25">
      <c r="A40" t="s">
        <v>127</v>
      </c>
      <c r="B40" t="str">
        <f t="shared" si="0"/>
        <v>, Null as PayNetID</v>
      </c>
    </row>
    <row r="41" spans="1:2" x14ac:dyDescent="0.25">
      <c r="A41" t="s">
        <v>128</v>
      </c>
      <c r="B41" t="str">
        <f t="shared" si="0"/>
        <v>, Null as EquifaxID</v>
      </c>
    </row>
    <row r="42" spans="1:2" x14ac:dyDescent="0.25">
      <c r="A42" t="s">
        <v>129</v>
      </c>
      <c r="B42" t="str">
        <f t="shared" si="0"/>
        <v>, Null as CreditRating</v>
      </c>
    </row>
    <row r="43" spans="1:2" x14ac:dyDescent="0.25">
      <c r="A43" t="s">
        <v>130</v>
      </c>
      <c r="B43" t="str">
        <f t="shared" si="0"/>
        <v>, Null as DateofBirth</v>
      </c>
    </row>
    <row r="44" spans="1:2" x14ac:dyDescent="0.25">
      <c r="A44" t="s">
        <v>131</v>
      </c>
      <c r="B44" t="str">
        <f t="shared" si="0"/>
        <v>, Null as Gender</v>
      </c>
    </row>
    <row r="45" spans="1:2" x14ac:dyDescent="0.25">
      <c r="A45" t="s">
        <v>132</v>
      </c>
      <c r="B45" t="str">
        <f t="shared" si="0"/>
        <v>, Null as Spouse</v>
      </c>
    </row>
    <row r="46" spans="1:2" x14ac:dyDescent="0.25">
      <c r="A46" t="s">
        <v>133</v>
      </c>
      <c r="B46" t="str">
        <f t="shared" si="0"/>
        <v>, Null as Department</v>
      </c>
    </row>
    <row r="47" spans="1:2" x14ac:dyDescent="0.25">
      <c r="A47" t="s">
        <v>134</v>
      </c>
      <c r="B47" t="str">
        <f t="shared" si="0"/>
        <v>, Null as BusinessTitle</v>
      </c>
    </row>
    <row r="48" spans="1:2" x14ac:dyDescent="0.25">
      <c r="A48" t="s">
        <v>135</v>
      </c>
      <c r="B48" t="str">
        <f t="shared" si="0"/>
        <v>, Null as Title</v>
      </c>
    </row>
    <row r="49" spans="1:2" x14ac:dyDescent="0.25">
      <c r="A49" t="s">
        <v>136</v>
      </c>
      <c r="B49" t="str">
        <f t="shared" si="0"/>
        <v>, Null as [Function]</v>
      </c>
    </row>
    <row r="50" spans="1:2" x14ac:dyDescent="0.25">
      <c r="A50" t="s">
        <v>137</v>
      </c>
      <c r="B50" t="str">
        <f t="shared" si="0"/>
        <v>, Null as CountryofCitizenship</v>
      </c>
    </row>
    <row r="51" spans="1:2" x14ac:dyDescent="0.25">
      <c r="A51" t="s">
        <v>212</v>
      </c>
      <c r="B51" t="str">
        <f t="shared" si="0"/>
        <v>, Null as PercentOwnership</v>
      </c>
    </row>
    <row r="52" spans="1:2" x14ac:dyDescent="0.25">
      <c r="A52" t="s">
        <v>138</v>
      </c>
      <c r="B52" t="str">
        <f t="shared" si="0"/>
        <v>, 'False' as CreditReleaseObtained</v>
      </c>
    </row>
    <row r="53" spans="1:2" x14ac:dyDescent="0.25">
      <c r="A53" t="s">
        <v>139</v>
      </c>
      <c r="B53" t="str">
        <f t="shared" si="0"/>
        <v>, 'False' as TaxExempt</v>
      </c>
    </row>
    <row r="54" spans="1:2" x14ac:dyDescent="0.25">
      <c r="A54" t="s">
        <v>140</v>
      </c>
      <c r="B54" t="str">
        <f t="shared" si="0"/>
        <v>, Null as ExemptExpirationDate</v>
      </c>
    </row>
    <row r="55" spans="1:2" x14ac:dyDescent="0.25">
      <c r="A55" t="s">
        <v>141</v>
      </c>
      <c r="B55" t="str">
        <f t="shared" si="0"/>
        <v>, Null as ExemptCertificateID</v>
      </c>
    </row>
    <row r="56" spans="1:2" x14ac:dyDescent="0.25">
      <c r="A56" t="s">
        <v>142</v>
      </c>
      <c r="B56" t="str">
        <f t="shared" si="0"/>
        <v>, Null as ExemptReason</v>
      </c>
    </row>
    <row r="57" spans="1:2" x14ac:dyDescent="0.25">
      <c r="A57" t="s">
        <v>143</v>
      </c>
      <c r="B57" t="str">
        <f t="shared" si="0"/>
        <v>, Null as DocumentSigner</v>
      </c>
    </row>
    <row r="58" spans="1:2" x14ac:dyDescent="0.25">
      <c r="A58" t="s">
        <v>213</v>
      </c>
      <c r="B58" t="str">
        <f t="shared" si="0"/>
        <v>, dp.PhoneNumber as Phone1</v>
      </c>
    </row>
    <row r="59" spans="1:2" x14ac:dyDescent="0.25">
      <c r="A59" t="s">
        <v>144</v>
      </c>
      <c r="B59" t="str">
        <f t="shared" si="0"/>
        <v>, Null as Phone1Extension</v>
      </c>
    </row>
    <row r="60" spans="1:2" x14ac:dyDescent="0.25">
      <c r="A60" t="s">
        <v>214</v>
      </c>
      <c r="B60" t="str">
        <f t="shared" si="0"/>
        <v>, 'H' as Phone1Type</v>
      </c>
    </row>
    <row r="61" spans="1:2" x14ac:dyDescent="0.25">
      <c r="A61" t="s">
        <v>215</v>
      </c>
      <c r="B61" t="str">
        <f t="shared" si="0"/>
        <v>, 'True' as Phone1Primary</v>
      </c>
    </row>
    <row r="62" spans="1:2" x14ac:dyDescent="0.25">
      <c r="A62" t="s">
        <v>216</v>
      </c>
      <c r="B62" t="str">
        <f t="shared" si="0"/>
        <v>, dp.AltPhoneNumber as Phone2</v>
      </c>
    </row>
    <row r="63" spans="1:2" x14ac:dyDescent="0.25">
      <c r="A63" t="s">
        <v>145</v>
      </c>
      <c r="B63" t="str">
        <f t="shared" si="0"/>
        <v>, Null as Phone2Extension</v>
      </c>
    </row>
    <row r="64" spans="1:2" x14ac:dyDescent="0.25">
      <c r="A64" t="s">
        <v>217</v>
      </c>
      <c r="B64" t="str">
        <f t="shared" si="0"/>
        <v>, 'C' as Phone2Type</v>
      </c>
    </row>
    <row r="65" spans="1:2" x14ac:dyDescent="0.25">
      <c r="A65" t="s">
        <v>218</v>
      </c>
      <c r="B65" t="str">
        <f t="shared" si="0"/>
        <v>, 'False' as Phone2Primary</v>
      </c>
    </row>
    <row r="66" spans="1:2" x14ac:dyDescent="0.25">
      <c r="A66" t="s">
        <v>146</v>
      </c>
      <c r="B66" t="str">
        <f t="shared" si="0"/>
        <v>, Null as Phone3</v>
      </c>
    </row>
    <row r="67" spans="1:2" x14ac:dyDescent="0.25">
      <c r="A67" t="s">
        <v>147</v>
      </c>
      <c r="B67" t="str">
        <f t="shared" si="0"/>
        <v>, Null as Phone3Extension</v>
      </c>
    </row>
    <row r="68" spans="1:2" x14ac:dyDescent="0.25">
      <c r="A68" t="s">
        <v>148</v>
      </c>
      <c r="B68" t="str">
        <f t="shared" ref="B68:B119" si="1">", "&amp;A68</f>
        <v>, Null as Phone3Type</v>
      </c>
    </row>
    <row r="69" spans="1:2" x14ac:dyDescent="0.25">
      <c r="A69" t="s">
        <v>149</v>
      </c>
      <c r="B69" t="str">
        <f t="shared" si="1"/>
        <v>, Null as Phone3Primary</v>
      </c>
    </row>
    <row r="70" spans="1:2" x14ac:dyDescent="0.25">
      <c r="A70" t="s">
        <v>150</v>
      </c>
      <c r="B70" t="str">
        <f t="shared" si="1"/>
        <v>, Null as Phone4</v>
      </c>
    </row>
    <row r="71" spans="1:2" x14ac:dyDescent="0.25">
      <c r="A71" t="s">
        <v>151</v>
      </c>
      <c r="B71" t="str">
        <f t="shared" si="1"/>
        <v>, Null as Phone4Extension</v>
      </c>
    </row>
    <row r="72" spans="1:2" x14ac:dyDescent="0.25">
      <c r="A72" t="s">
        <v>152</v>
      </c>
      <c r="B72" t="str">
        <f t="shared" si="1"/>
        <v>, Null as Phone4Type</v>
      </c>
    </row>
    <row r="73" spans="1:2" x14ac:dyDescent="0.25">
      <c r="A73" t="s">
        <v>153</v>
      </c>
      <c r="B73" t="str">
        <f t="shared" si="1"/>
        <v>, Null as Phone4Primary</v>
      </c>
    </row>
    <row r="74" spans="1:2" x14ac:dyDescent="0.25">
      <c r="A74" t="s">
        <v>154</v>
      </c>
      <c r="B74" t="str">
        <f t="shared" si="1"/>
        <v>, Null as UserInitials</v>
      </c>
    </row>
    <row r="75" spans="1:2" x14ac:dyDescent="0.25">
      <c r="A75" t="s">
        <v>155</v>
      </c>
      <c r="B75" t="str">
        <f t="shared" si="1"/>
        <v>, Null as UserId</v>
      </c>
    </row>
    <row r="76" spans="1:2" x14ac:dyDescent="0.25">
      <c r="A76" t="s">
        <v>156</v>
      </c>
      <c r="B76" t="str">
        <f t="shared" si="1"/>
        <v>, Null as Password</v>
      </c>
    </row>
    <row r="77" spans="1:2" x14ac:dyDescent="0.25">
      <c r="A77" t="s">
        <v>157</v>
      </c>
      <c r="B77" t="str">
        <f t="shared" si="1"/>
        <v>, Null as WebOnly</v>
      </c>
    </row>
    <row r="78" spans="1:2" x14ac:dyDescent="0.25">
      <c r="A78" t="s">
        <v>158</v>
      </c>
      <c r="B78" t="str">
        <f t="shared" si="1"/>
        <v>, Null as DeactivationDate</v>
      </c>
    </row>
    <row r="79" spans="1:2" x14ac:dyDescent="0.25">
      <c r="A79" t="s">
        <v>159</v>
      </c>
      <c r="B79" t="str">
        <f t="shared" si="1"/>
        <v>, Null as Profile</v>
      </c>
    </row>
    <row r="80" spans="1:2" x14ac:dyDescent="0.25">
      <c r="A80" t="s">
        <v>160</v>
      </c>
      <c r="B80" t="str">
        <f t="shared" si="1"/>
        <v>, Null as AutoRunatLogin</v>
      </c>
    </row>
    <row r="81" spans="1:2" x14ac:dyDescent="0.25">
      <c r="A81" t="s">
        <v>161</v>
      </c>
      <c r="B81" t="str">
        <f t="shared" si="1"/>
        <v>, Null as AttachUserasRole</v>
      </c>
    </row>
    <row r="82" spans="1:2" x14ac:dyDescent="0.25">
      <c r="A82" t="s">
        <v>162</v>
      </c>
      <c r="B82" t="str">
        <f t="shared" si="1"/>
        <v>, Null as PasswordExpirationDate</v>
      </c>
    </row>
    <row r="83" spans="1:2" x14ac:dyDescent="0.25">
      <c r="A83" t="s">
        <v>163</v>
      </c>
      <c r="B83" t="str">
        <f t="shared" si="1"/>
        <v>, Null as CreditDecisionThresholdEnabled</v>
      </c>
    </row>
    <row r="84" spans="1:2" x14ac:dyDescent="0.25">
      <c r="A84" t="s">
        <v>164</v>
      </c>
      <c r="B84" t="str">
        <f t="shared" si="1"/>
        <v>, Null as ThresholdApprovalAmount</v>
      </c>
    </row>
    <row r="85" spans="1:2" x14ac:dyDescent="0.25">
      <c r="A85" t="s">
        <v>165</v>
      </c>
      <c r="B85" t="str">
        <f t="shared" si="1"/>
        <v>, Null as DealAccess</v>
      </c>
    </row>
    <row r="86" spans="1:2" x14ac:dyDescent="0.25">
      <c r="A86" t="s">
        <v>166</v>
      </c>
      <c r="B86" t="str">
        <f t="shared" si="1"/>
        <v>, Null as FinanceCompanyAccess</v>
      </c>
    </row>
    <row r="87" spans="1:2" x14ac:dyDescent="0.25">
      <c r="A87" t="s">
        <v>167</v>
      </c>
      <c r="B87" t="str">
        <f t="shared" si="1"/>
        <v>, Null as FinanceProgramAccess</v>
      </c>
    </row>
    <row r="88" spans="1:2" x14ac:dyDescent="0.25">
      <c r="A88" t="s">
        <v>168</v>
      </c>
      <c r="B88" t="str">
        <f t="shared" si="1"/>
        <v>, Null as CreditDecision</v>
      </c>
    </row>
    <row r="89" spans="1:2" x14ac:dyDescent="0.25">
      <c r="A89" t="s">
        <v>169</v>
      </c>
      <c r="B89" t="str">
        <f t="shared" si="1"/>
        <v>, '1/1/2018 12:00:00 AM' as LastFinancialDate</v>
      </c>
    </row>
    <row r="90" spans="1:2" x14ac:dyDescent="0.25">
      <c r="A90" t="s">
        <v>170</v>
      </c>
      <c r="B90" t="str">
        <f t="shared" si="1"/>
        <v>, Null as CreditReviewDate</v>
      </c>
    </row>
    <row r="91" spans="1:2" x14ac:dyDescent="0.25">
      <c r="A91" t="s">
        <v>171</v>
      </c>
      <c r="B91" t="str">
        <f t="shared" si="1"/>
        <v>, Null as ExpirationDate</v>
      </c>
    </row>
    <row r="92" spans="1:2" x14ac:dyDescent="0.25">
      <c r="A92" t="s">
        <v>172</v>
      </c>
      <c r="B92" t="str">
        <f t="shared" si="1"/>
        <v>, Null as CreditScore</v>
      </c>
    </row>
    <row r="93" spans="1:2" x14ac:dyDescent="0.25">
      <c r="A93" t="s">
        <v>173</v>
      </c>
      <c r="B93" t="str">
        <f t="shared" si="1"/>
        <v>, 'True' as Is_Primary</v>
      </c>
    </row>
    <row r="94" spans="1:2" x14ac:dyDescent="0.25">
      <c r="A94" t="s">
        <v>174</v>
      </c>
      <c r="B94" t="str">
        <f t="shared" si="1"/>
        <v>, Null as PrivateLabelName</v>
      </c>
    </row>
    <row r="95" spans="1:2" x14ac:dyDescent="0.25">
      <c r="A95" t="s">
        <v>175</v>
      </c>
      <c r="B95" t="str">
        <f t="shared" si="1"/>
        <v>, Null as PaymentTermsCode</v>
      </c>
    </row>
    <row r="96" spans="1:2" x14ac:dyDescent="0.25">
      <c r="A96" t="s">
        <v>176</v>
      </c>
      <c r="B96" t="str">
        <f t="shared" si="1"/>
        <v>, Null as PaymentMethodCode</v>
      </c>
    </row>
    <row r="97" spans="1:2" x14ac:dyDescent="0.25">
      <c r="A97" t="s">
        <v>177</v>
      </c>
      <c r="B97" t="str">
        <f t="shared" si="1"/>
        <v>, Null as ShippingMethodCode</v>
      </c>
    </row>
    <row r="98" spans="1:2" x14ac:dyDescent="0.25">
      <c r="A98" t="s">
        <v>178</v>
      </c>
      <c r="B98" t="str">
        <f t="shared" si="1"/>
        <v>, Null as IsAccountsPayable</v>
      </c>
    </row>
    <row r="99" spans="1:2" x14ac:dyDescent="0.25">
      <c r="A99" t="s">
        <v>179</v>
      </c>
      <c r="B99" t="str">
        <f t="shared" si="1"/>
        <v>, Null as Is1099Account</v>
      </c>
    </row>
    <row r="100" spans="1:2" x14ac:dyDescent="0.25">
      <c r="A100" t="s">
        <v>180</v>
      </c>
      <c r="B100" t="str">
        <f t="shared" si="1"/>
        <v>, Null as DaysforFundingApproval</v>
      </c>
    </row>
    <row r="101" spans="1:2" x14ac:dyDescent="0.25">
      <c r="A101" t="s">
        <v>181</v>
      </c>
      <c r="B101" t="str">
        <f t="shared" si="1"/>
        <v>, Null as ReservePercentage</v>
      </c>
    </row>
    <row r="102" spans="1:2" x14ac:dyDescent="0.25">
      <c r="A102" t="s">
        <v>182</v>
      </c>
      <c r="B102" t="str">
        <f t="shared" si="1"/>
        <v>, Null as ReserveType</v>
      </c>
    </row>
    <row r="103" spans="1:2" x14ac:dyDescent="0.25">
      <c r="A103" t="s">
        <v>183</v>
      </c>
      <c r="B103" t="str">
        <f t="shared" si="1"/>
        <v>, Null as BankFee</v>
      </c>
    </row>
    <row r="104" spans="1:2" x14ac:dyDescent="0.25">
      <c r="A104" t="s">
        <v>184</v>
      </c>
      <c r="B104" t="str">
        <f t="shared" si="1"/>
        <v>, Null as ComputeMethod</v>
      </c>
    </row>
    <row r="105" spans="1:2" x14ac:dyDescent="0.25">
      <c r="A105" t="s">
        <v>185</v>
      </c>
      <c r="B105" t="str">
        <f t="shared" si="1"/>
        <v>, Null as Period</v>
      </c>
    </row>
    <row r="106" spans="1:2" x14ac:dyDescent="0.25">
      <c r="A106" t="s">
        <v>186</v>
      </c>
      <c r="B106" t="str">
        <f t="shared" si="1"/>
        <v>, Null as YearLength</v>
      </c>
    </row>
    <row r="107" spans="1:2" x14ac:dyDescent="0.25">
      <c r="A107" t="s">
        <v>187</v>
      </c>
      <c r="B107" t="str">
        <f t="shared" si="1"/>
        <v>, Null as DiscountAccountingMethod</v>
      </c>
    </row>
    <row r="108" spans="1:2" x14ac:dyDescent="0.25">
      <c r="A108" t="s">
        <v>188</v>
      </c>
      <c r="B108" t="str">
        <f t="shared" si="1"/>
        <v>, Null as ResponsibleParty</v>
      </c>
    </row>
    <row r="109" spans="1:2" x14ac:dyDescent="0.25">
      <c r="A109" t="s">
        <v>189</v>
      </c>
      <c r="B109" t="str">
        <f t="shared" si="1"/>
        <v>, Null as ResponsibleFor</v>
      </c>
    </row>
    <row r="110" spans="1:2" x14ac:dyDescent="0.25">
      <c r="A110" t="s">
        <v>190</v>
      </c>
      <c r="B110" t="str">
        <f t="shared" si="1"/>
        <v>, Null as PaymentRemittedTo</v>
      </c>
    </row>
    <row r="111" spans="1:2" x14ac:dyDescent="0.25">
      <c r="A111" t="s">
        <v>191</v>
      </c>
      <c r="B111" t="str">
        <f t="shared" si="1"/>
        <v>, Null as SalesTaxRemittedTo</v>
      </c>
    </row>
    <row r="112" spans="1:2" x14ac:dyDescent="0.25">
      <c r="A112" t="s">
        <v>192</v>
      </c>
      <c r="B112" t="str">
        <f t="shared" si="1"/>
        <v>, Null as AccountingMethod</v>
      </c>
    </row>
    <row r="113" spans="1:2" x14ac:dyDescent="0.25">
      <c r="A113" t="s">
        <v>193</v>
      </c>
      <c r="B113" t="str">
        <f t="shared" si="1"/>
        <v>, Null as IsRecourse</v>
      </c>
    </row>
    <row r="114" spans="1:2" x14ac:dyDescent="0.25">
      <c r="A114" t="s">
        <v>194</v>
      </c>
      <c r="B114" t="str">
        <f t="shared" si="1"/>
        <v>, Null as PropertyTaxResponsiblePartyDefault</v>
      </c>
    </row>
    <row r="115" spans="1:2" x14ac:dyDescent="0.25">
      <c r="A115" t="s">
        <v>195</v>
      </c>
      <c r="B115" t="str">
        <f t="shared" si="1"/>
        <v>, Null as TaxAfterExemptExpirationDate</v>
      </c>
    </row>
    <row r="116" spans="1:2" x14ac:dyDescent="0.25">
      <c r="A116" t="s">
        <v>196</v>
      </c>
      <c r="B116" t="str">
        <f t="shared" si="1"/>
        <v>, Null as AgentID</v>
      </c>
    </row>
    <row r="117" spans="1:2" x14ac:dyDescent="0.25">
      <c r="A117" t="s">
        <v>197</v>
      </c>
      <c r="B117" t="str">
        <f t="shared" si="1"/>
        <v>, Null as NextContractId</v>
      </c>
    </row>
    <row r="118" spans="1:2" x14ac:dyDescent="0.25">
      <c r="A118" t="s">
        <v>198</v>
      </c>
      <c r="B118" t="str">
        <f t="shared" si="1"/>
        <v>, Null as CompanyRegistrationNumber</v>
      </c>
    </row>
    <row r="119" spans="1:2" x14ac:dyDescent="0.25">
      <c r="A119" t="s">
        <v>219</v>
      </c>
      <c r="B119" t="str">
        <f t="shared" si="1"/>
        <v>, FROM dbo.DimCustomer AS dc</v>
      </c>
    </row>
    <row r="120" spans="1:2" x14ac:dyDescent="0.25">
      <c r="A120" t="s">
        <v>220</v>
      </c>
    </row>
    <row r="121" spans="1:2" x14ac:dyDescent="0.25">
      <c r="A121" t="s">
        <v>221</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C30852-E4DE-4116-AD69-D61A586AB6DA}">
  <sheetPr codeName="Sheet12"/>
  <dimension ref="A1:B20"/>
  <sheetViews>
    <sheetView tabSelected="1" workbookViewId="0">
      <selection activeCell="B20" sqref="B20"/>
    </sheetView>
  </sheetViews>
  <sheetFormatPr defaultRowHeight="15" x14ac:dyDescent="0.25"/>
  <cols>
    <col min="1" max="1" width="19.42578125" customWidth="1"/>
    <col min="4" max="4" width="11.140625" bestFit="1" customWidth="1"/>
  </cols>
  <sheetData>
    <row r="1" spans="1:2" x14ac:dyDescent="0.25">
      <c r="A1" t="s">
        <v>4111</v>
      </c>
      <c r="B1" t="str">
        <f>"'"&amp;A1&amp;"', "</f>
        <v xml:space="preserve">'ANZ Sales', </v>
      </c>
    </row>
    <row r="2" spans="1:2" x14ac:dyDescent="0.25">
      <c r="A2" t="s">
        <v>4112</v>
      </c>
      <c r="B2" t="str">
        <f>B1&amp; "'"&amp;A2&amp;"'"&amp; IF(A3="", "", ", ")</f>
        <v xml:space="preserve">'ANZ Sales', 'OCLC WorldShare Management Services - Library', </v>
      </c>
    </row>
    <row r="3" spans="1:2" x14ac:dyDescent="0.25">
      <c r="A3" t="s">
        <v>4113</v>
      </c>
      <c r="B3" t="str">
        <f t="shared" ref="B3:B20" si="0">B2&amp; "'"&amp;A3&amp;"'"&amp; IF(A4="", "", ", ")</f>
        <v xml:space="preserve">'ANZ Sales', 'OCLC WorldShare Management Services - Library', 'OCLC EMEA Support', </v>
      </c>
    </row>
    <row r="4" spans="1:2" x14ac:dyDescent="0.25">
      <c r="A4" t="s">
        <v>4114</v>
      </c>
      <c r="B4" t="str">
        <f t="shared" si="0"/>
        <v xml:space="preserve">'ANZ Sales', 'OCLC WorldShare Management Services - Library', 'OCLC EMEA Support', 'OCLC Public Library', </v>
      </c>
    </row>
    <row r="5" spans="1:2" x14ac:dyDescent="0.25">
      <c r="A5" t="s">
        <v>4115</v>
      </c>
      <c r="B5" t="str">
        <f t="shared" si="0"/>
        <v xml:space="preserve">'ANZ Sales', 'OCLC WorldShare Management Services - Library', 'OCLC EMEA Support', 'OCLC Public Library', 'EMEA UKI Training Library in Sheffield', </v>
      </c>
    </row>
    <row r="6" spans="1:2" x14ac:dyDescent="0.25">
      <c r="A6" t="s">
        <v>4116</v>
      </c>
      <c r="B6" t="str">
        <f t="shared" si="0"/>
        <v xml:space="preserve">'ANZ Sales', 'OCLC WorldShare Management Services - Library', 'OCLC EMEA Support', 'OCLC Public Library', 'EMEA UKI Training Library in Sheffield', 'Sorbonne University Abu Dhabi', </v>
      </c>
    </row>
    <row r="7" spans="1:2" x14ac:dyDescent="0.25">
      <c r="A7" t="s">
        <v>4117</v>
      </c>
      <c r="B7" t="str">
        <f t="shared" si="0"/>
        <v xml:space="preserve">'ANZ Sales', 'OCLC WorldShare Management Services - Library', 'OCLC EMEA Support', 'OCLC Public Library', 'EMEA UKI Training Library in Sheffield', 'Sorbonne University Abu Dhabi', 'Université de Montréal', </v>
      </c>
    </row>
    <row r="8" spans="1:2" x14ac:dyDescent="0.25">
      <c r="A8" t="s">
        <v>4118</v>
      </c>
      <c r="B8" t="str">
        <f t="shared" si="0"/>
        <v xml:space="preserve">'ANZ Sales', 'OCLC WorldShare Management Services - Library', 'OCLC EMEA Support', 'OCLC Public Library', 'EMEA UKI Training Library in Sheffield', 'Sorbonne University Abu Dhabi', 'Université de Montréal', 'OCLC OPS Demo Library', </v>
      </c>
    </row>
    <row r="9" spans="1:2" x14ac:dyDescent="0.25">
      <c r="A9" t="s">
        <v>4119</v>
      </c>
      <c r="B9" t="str">
        <f t="shared" si="0"/>
        <v xml:space="preserve">'ANZ Sales', 'OCLC WorldShare Management Services - Library', 'OCLC EMEA Support', 'OCLC Public Library', 'EMEA UKI Training Library in Sheffield', 'Sorbonne University Abu Dhabi', 'Université de Montréal', 'OCLC OPS Demo Library', 'Liverpool School of Tropical Medicine', </v>
      </c>
    </row>
    <row r="10" spans="1:2" x14ac:dyDescent="0.25">
      <c r="A10" t="s">
        <v>4120</v>
      </c>
      <c r="B10" t="str">
        <f t="shared" si="0"/>
        <v xml:space="preserve">'ANZ Sales', 'OCLC WorldShare Management Services - Library', 'OCLC EMEA Support', 'OCLC Public Library', 'EMEA UKI Training Library in Sheffield', 'Sorbonne University Abu Dhabi', 'Université de Montréal', 'OCLC OPS Demo Library', 'Liverpool School of Tropical Medicine', 'University of Gloucestershire', </v>
      </c>
    </row>
    <row r="11" spans="1:2" x14ac:dyDescent="0.25">
      <c r="A11" t="s">
        <v>4121</v>
      </c>
      <c r="B11" t="str">
        <f t="shared" si="0"/>
        <v xml:space="preserve">'ANZ Sales', 'OCLC WorldShare Management Services - Library', 'OCLC EMEA Support', 'OCLC Public Library', 'EMEA UKI Training Library in Sheffield', 'Sorbonne University Abu Dhabi', 'Université de Montréal', 'OCLC OPS Demo Library', 'Liverpool School of Tropical Medicine', 'University of Gloucestershire', 'University of Groningen Library', </v>
      </c>
    </row>
    <row r="12" spans="1:2" x14ac:dyDescent="0.25">
      <c r="A12" t="s">
        <v>4122</v>
      </c>
      <c r="B12" t="str">
        <f t="shared" si="0"/>
        <v xml:space="preserve">'ANZ Sales', 'OCLC WorldShare Management Services - Library', 'OCLC EMEA Support', 'OCLC Public Library', 'EMEA UKI Training Library in Sheffield', 'Sorbonne University Abu Dhabi', 'Université de Montréal', 'OCLC OPS Demo Library', 'Liverpool School of Tropical Medicine', 'University of Gloucestershire', 'University of Groningen Library', 'McGill University Library', </v>
      </c>
    </row>
    <row r="13" spans="1:2" x14ac:dyDescent="0.25">
      <c r="A13" t="s">
        <v>4123</v>
      </c>
      <c r="B13" t="str">
        <f t="shared" si="0"/>
        <v xml:space="preserve">'ANZ Sales', 'OCLC WorldShare Management Services - Library', 'OCLC EMEA Support', 'OCLC Public Library', 'EMEA UKI Training Library in Sheffield', 'Sorbonne University Abu Dhabi', 'Université de Montréal', 'OCLC OPS Demo Library', 'Liverpool School of Tropical Medicine', 'University of Gloucestershire', 'University of Groningen Library', 'McGill University Library', 'Polytechnique Montréal', </v>
      </c>
    </row>
    <row r="14" spans="1:2" x14ac:dyDescent="0.25">
      <c r="A14" t="s">
        <v>4124</v>
      </c>
      <c r="B14" t="str">
        <f t="shared" si="0"/>
        <v xml:space="preserve">'ANZ Sales', 'OCLC WorldShare Management Services - Library', 'OCLC EMEA Support', 'OCLC Public Library', 'EMEA UKI Training Library in Sheffield', 'Sorbonne University Abu Dhabi', 'Université de Montréal', 'OCLC OPS Demo Library', 'Liverpool School of Tropical Medicine', 'University of Gloucestershire', 'University of Groningen Library', 'McGill University Library', 'Polytechnique Montréal', 'Biblioteca de la Universidad Complutense de Madrid', </v>
      </c>
    </row>
    <row r="15" spans="1:2" x14ac:dyDescent="0.25">
      <c r="A15" t="s">
        <v>4125</v>
      </c>
      <c r="B15" t="str">
        <f t="shared" si="0"/>
        <v xml:space="preserve">'ANZ Sales', 'OCLC WorldShare Management Services - Library', 'OCLC EMEA Support', 'OCLC Public Library', 'EMEA UKI Training Library in Sheffield', 'Sorbonne University Abu Dhabi', 'Université de Montréal', 'OCLC OPS Demo Library', 'Liverpool School of Tropical Medicine', 'University of Gloucestershire', 'University of Groningen Library', 'McGill University Library', 'Polytechnique Montréal', 'Biblioteca de la Universidad Complutense de Madrid', 'University of Roehampton', </v>
      </c>
    </row>
    <row r="16" spans="1:2" x14ac:dyDescent="0.25">
      <c r="A16" t="s">
        <v>4126</v>
      </c>
      <c r="B16" t="str">
        <f t="shared" si="0"/>
        <v xml:space="preserve">'ANZ Sales', 'OCLC WorldShare Management Services - Library', 'OCLC EMEA Support', 'OCLC Public Library', 'EMEA UKI Training Library in Sheffield', 'Sorbonne University Abu Dhabi', 'Université de Montréal', 'OCLC OPS Demo Library', 'Liverpool School of Tropical Medicine', 'University of Gloucestershire', 'University of Groningen Library', 'McGill University Library', 'Polytechnique Montréal', 'Biblioteca de la Universidad Complutense de Madrid', 'University of Roehampton', 'Radboud University; University Library', </v>
      </c>
    </row>
    <row r="17" spans="1:2" x14ac:dyDescent="0.25">
      <c r="A17" t="s">
        <v>4127</v>
      </c>
      <c r="B17" t="str">
        <f t="shared" si="0"/>
        <v xml:space="preserve">'ANZ Sales', 'OCLC WorldShare Management Services - Library', 'OCLC EMEA Support', 'OCLC Public Library', 'EMEA UKI Training Library in Sheffield', 'Sorbonne University Abu Dhabi', 'Université de Montréal', 'OCLC OPS Demo Library', 'Liverpool School of Tropical Medicine', 'University of Gloucestershire', 'University of Groningen Library', 'McGill University Library', 'Polytechnique Montréal', 'Biblioteca de la Universidad Complutense de Madrid', 'University of Roehampton', 'Radboud University; University Library', 'WMS University', </v>
      </c>
    </row>
    <row r="18" spans="1:2" x14ac:dyDescent="0.25">
      <c r="A18" t="s">
        <v>4128</v>
      </c>
      <c r="B18" t="str">
        <f t="shared" si="0"/>
        <v xml:space="preserve">'ANZ Sales', 'OCLC WorldShare Management Services - Library', 'OCLC EMEA Support', 'OCLC Public Library', 'EMEA UKI Training Library in Sheffield', 'Sorbonne University Abu Dhabi', 'Université de Montréal', 'OCLC OPS Demo Library', 'Liverpool School of Tropical Medicine', 'University of Gloucestershire', 'University of Groningen Library', 'McGill University Library', 'Polytechnique Montréal', 'Biblioteca de la Universidad Complutense de Madrid', 'University of Roehampton', 'Radboud University; University Library', 'WMS University', 'Massey University Library', </v>
      </c>
    </row>
    <row r="19" spans="1:2" x14ac:dyDescent="0.25">
      <c r="A19" t="s">
        <v>4129</v>
      </c>
      <c r="B19" t="str">
        <f t="shared" si="0"/>
        <v xml:space="preserve">'ANZ Sales', 'OCLC WorldShare Management Services - Library', 'OCLC EMEA Support', 'OCLC Public Library', 'EMEA UKI Training Library in Sheffield', 'Sorbonne University Abu Dhabi', 'Université de Montréal', 'OCLC OPS Demo Library', 'Liverpool School of Tropical Medicine', 'University of Gloucestershire', 'University of Groningen Library', 'McGill University Library', 'Polytechnique Montréal', 'Biblioteca de la Universidad Complutense de Madrid', 'University of Roehampton', 'Radboud University; University Library', 'WMS University', 'Massey University Library', 'Université Laval, Bibliothèque', </v>
      </c>
    </row>
    <row r="20" spans="1:2" x14ac:dyDescent="0.25">
      <c r="A20" t="s">
        <v>4130</v>
      </c>
      <c r="B20" t="str">
        <f t="shared" si="0"/>
        <v>'ANZ Sales', 'OCLC WorldShare Management Services - Library', 'OCLC EMEA Support', 'OCLC Public Library', 'EMEA UKI Training Library in Sheffield', 'Sorbonne University Abu Dhabi', 'Université de Montréal', 'OCLC OPS Demo Library', 'Liverpool School of Tropical Medicine', 'University of Gloucestershire', 'University of Groningen Library', 'McGill University Library', 'Polytechnique Montréal', 'Biblioteca de la Universidad Complutense de Madrid', 'University of Roehampton', 'Radboud University; University Library', 'WMS University', 'Massey University Library', 'Université Laval, Bibliothèque', 'Université du Québec à Montréal'</v>
      </c>
    </row>
  </sheetData>
  <conditionalFormatting sqref="A1">
    <cfRule type="duplicateValues" dxfId="0" priority="1"/>
  </conditionalFormatting>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Props1.xml><?xml version="1.0" encoding="utf-8"?>
<ds:datastoreItem xmlns:ds="http://schemas.openxmlformats.org/officeDocument/2006/customXml" ds:itemID="{84859171-D4DB-4D73-B6F5-8D84CF3A36F6}">
  <ds:schemaRefs/>
</ds:datastoreItem>
</file>

<file path=customXml/itemProps2.xml><?xml version="1.0" encoding="utf-8"?>
<ds:datastoreItem xmlns:ds="http://schemas.openxmlformats.org/officeDocument/2006/customXml" ds:itemID="{2B62B805-0E17-4F38-AC7C-7E4A48D28170}">
  <ds:schemaRefs/>
</ds:datastoreItem>
</file>

<file path=customXml/itemProps3.xml><?xml version="1.0" encoding="utf-8"?>
<ds:datastoreItem xmlns:ds="http://schemas.openxmlformats.org/officeDocument/2006/customXml" ds:itemID="{55C78D0E-39CC-4B36-9197-3773B6FDD5F4}">
  <ds:schemaRefs/>
</ds:datastoreItem>
</file>

<file path=customXml/itemProps4.xml><?xml version="1.0" encoding="utf-8"?>
<ds:datastoreItem xmlns:ds="http://schemas.openxmlformats.org/officeDocument/2006/customXml" ds:itemID="{BE84D26B-6B8E-4BD2-B71C-0310FB6DE626}">
  <ds:schemaRefs/>
</ds:datastoreItem>
</file>

<file path=customXml/itemProps5.xml><?xml version="1.0" encoding="utf-8"?>
<ds:datastoreItem xmlns:ds="http://schemas.openxmlformats.org/officeDocument/2006/customXml" ds:itemID="{230EB17C-4267-4739-BD41-C10E935B82B5}">
  <ds:schemaRefs/>
</ds:datastoreItem>
</file>

<file path=customXml/itemProps6.xml><?xml version="1.0" encoding="utf-8"?>
<ds:datastoreItem xmlns:ds="http://schemas.openxmlformats.org/officeDocument/2006/customXml" ds:itemID="{F8B44A66-D57B-47CC-9047-9DA7240222BE}">
  <ds:schemaRefs/>
</ds:datastoreItem>
</file>

<file path=customXml/itemProps7.xml><?xml version="1.0" encoding="utf-8"?>
<ds:datastoreItem xmlns:ds="http://schemas.openxmlformats.org/officeDocument/2006/customXml" ds:itemID="{B6C0AF88-7757-451A-98B4-FCD5D3A40E35}">
  <ds:schemaRefs/>
</ds:datastoreItem>
</file>

<file path=customXml/itemProps8.xml><?xml version="1.0" encoding="utf-8"?>
<ds:datastoreItem xmlns:ds="http://schemas.openxmlformats.org/officeDocument/2006/customXml" ds:itemID="{22C45FB4-354C-45EE-B3BB-B9CAABC1C719}">
  <ds:schemaRefs/>
</ds:datastoreItem>
</file>

<file path=customXml/itemProps9.xml><?xml version="1.0" encoding="utf-8"?>
<ds:datastoreItem xmlns:ds="http://schemas.openxmlformats.org/officeDocument/2006/customXml" ds:itemID="{E9FB3F5D-51BE-4E57-A4B5-0DBFFB1068FB}">
  <ds:schemaRefs>
    <ds:schemaRef ds:uri="http://schemas.microsoft.com/DataMashup"/>
  </ds:schemaRefs>
</ds:datastoreItem>
</file>

<file path=customXml/itemProps10.xml><?xml version="1.0" encoding="utf-8"?>
<ds:datastoreItem xmlns:ds="http://schemas.openxmlformats.org/officeDocument/2006/customXml" ds:itemID="{F133B3D6-88A3-4E8B-BFD6-C1960E5F9B87}">
  <ds:schemaRefs/>
</ds:datastoreItem>
</file>

<file path=customXml/itemProps11.xml><?xml version="1.0" encoding="utf-8"?>
<ds:datastoreItem xmlns:ds="http://schemas.openxmlformats.org/officeDocument/2006/customXml" ds:itemID="{1FC93388-A876-4A8C-868A-707A993563EF}">
  <ds:schemaRefs/>
</ds:datastoreItem>
</file>

<file path=customXml/itemProps12.xml><?xml version="1.0" encoding="utf-8"?>
<ds:datastoreItem xmlns:ds="http://schemas.openxmlformats.org/officeDocument/2006/customXml" ds:itemID="{81CE2AC5-1E49-44C2-929D-0E76D80F2DEF}">
  <ds:schemaRefs/>
</ds:datastoreItem>
</file>

<file path=customXml/itemProps13.xml><?xml version="1.0" encoding="utf-8"?>
<ds:datastoreItem xmlns:ds="http://schemas.openxmlformats.org/officeDocument/2006/customXml" ds:itemID="{3B8111CE-ED76-4C41-B315-ACCB51DA0290}">
  <ds:schemaRefs/>
</ds:datastoreItem>
</file>

<file path=customXml/itemProps14.xml><?xml version="1.0" encoding="utf-8"?>
<ds:datastoreItem xmlns:ds="http://schemas.openxmlformats.org/officeDocument/2006/customXml" ds:itemID="{63680650-3008-41CE-B56C-8A186F8E2FCF}">
  <ds:schemaRefs/>
</ds:datastoreItem>
</file>

<file path=customXml/itemProps15.xml><?xml version="1.0" encoding="utf-8"?>
<ds:datastoreItem xmlns:ds="http://schemas.openxmlformats.org/officeDocument/2006/customXml" ds:itemID="{0293393D-45D3-46FB-8B17-A3C15EB33C4C}">
  <ds:schemaRefs/>
</ds:datastoreItem>
</file>

<file path=customXml/itemProps16.xml><?xml version="1.0" encoding="utf-8"?>
<ds:datastoreItem xmlns:ds="http://schemas.openxmlformats.org/officeDocument/2006/customXml" ds:itemID="{F9268745-8578-4E8D-9076-F06AD21795DA}">
  <ds:schemaRefs/>
</ds:datastoreItem>
</file>

<file path=customXml/itemProps17.xml><?xml version="1.0" encoding="utf-8"?>
<ds:datastoreItem xmlns:ds="http://schemas.openxmlformats.org/officeDocument/2006/customXml" ds:itemID="{FEC038DD-915F-473E-95D0-7E35BFC8611F}">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7</vt:i4>
      </vt:variant>
    </vt:vector>
  </HeadingPairs>
  <TitlesOfParts>
    <vt:vector size="20" baseType="lpstr">
      <vt:lpstr>Servers</vt:lpstr>
      <vt:lpstr>Column Definition</vt:lpstr>
      <vt:lpstr>DataSample</vt:lpstr>
      <vt:lpstr>Merge Code</vt:lpstr>
      <vt:lpstr>Tables</vt:lpstr>
      <vt:lpstr>Databases</vt:lpstr>
      <vt:lpstr>Schemas</vt:lpstr>
      <vt:lpstr>Add tech columns</vt:lpstr>
      <vt:lpstr>Make Select list</vt:lpstr>
      <vt:lpstr>Create table</vt:lpstr>
      <vt:lpstr>Select Asset</vt:lpstr>
      <vt:lpstr>Sheet1</vt:lpstr>
      <vt:lpstr>Make IN List</vt:lpstr>
      <vt:lpstr>COLUMN_NAME</vt:lpstr>
      <vt:lpstr>Columns</vt:lpstr>
      <vt:lpstr>Parameters</vt:lpstr>
      <vt:lpstr>Schema</vt:lpstr>
      <vt:lpstr>Servers</vt:lpstr>
      <vt:lpstr>Table_Name</vt:lpstr>
      <vt:lpstr>TableName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Philippe Cand</dc:creator>
  <cp:lastModifiedBy>Philippe Addelia</cp:lastModifiedBy>
  <cp:lastPrinted>2019-11-07T00:12:01Z</cp:lastPrinted>
  <dcterms:created xsi:type="dcterms:W3CDTF">2019-04-29T16:24:18Z</dcterms:created>
  <dcterms:modified xsi:type="dcterms:W3CDTF">2022-06-03T16:39:33Z</dcterms:modified>
</cp:coreProperties>
</file>